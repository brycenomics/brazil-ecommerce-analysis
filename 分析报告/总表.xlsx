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数据运营\项目文件\电商分析\"/>
    </mc:Choice>
  </mc:AlternateContent>
  <xr:revisionPtr revIDLastSave="0" documentId="13_ncr:1_{71DBC953-6FC4-48D7-857E-A2FA0E41A1BE}" xr6:coauthVersionLast="47" xr6:coauthVersionMax="47" xr10:uidLastSave="{00000000-0000-0000-0000-000000000000}"/>
  <bookViews>
    <workbookView xWindow="-108" yWindow="-108" windowWidth="23256" windowHeight="12576" firstSheet="4" activeTab="6" xr2:uid="{00000000-000D-0000-FFFF-FFFF00000000}"/>
  </bookViews>
  <sheets>
    <sheet name="表1 月度销售分析" sheetId="1" r:id="rId1"/>
    <sheet name="表2 支付金额分析" sheetId="2" r:id="rId2"/>
    <sheet name="表3 RFM分析" sheetId="3" r:id="rId3"/>
    <sheet name="表4 商品品类销售趋势分析" sheetId="4" r:id="rId4"/>
    <sheet name="品类综合分析（包含季节性分析）" sheetId="5" r:id="rId5"/>
    <sheet name="品类综合表现看板" sheetId="12" r:id="rId6"/>
    <sheet name="集中度价值分析表" sheetId="13" r:id="rId7"/>
  </sheets>
  <definedNames>
    <definedName name="_xlnm._FilterDatabase" localSheetId="0" hidden="1">'表1 月度销售分析'!$A$1:$K$24</definedName>
  </definedNames>
  <calcPr calcId="191029"/>
  <pivotCaches>
    <pivotCache cacheId="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5" l="1"/>
  <c r="S26" i="5"/>
  <c r="S25" i="5"/>
  <c r="S24" i="5"/>
  <c r="R26" i="5"/>
  <c r="R24" i="5"/>
  <c r="A2" i="5" a="1"/>
  <c r="A2" i="5" s="1"/>
  <c r="N2" i="5" s="1" a="1"/>
  <c r="N2" i="5" s="1"/>
  <c r="B15" i="2"/>
  <c r="N5" i="3"/>
  <c r="N4" i="3"/>
  <c r="N2" i="3"/>
  <c r="N3" i="3"/>
  <c r="K3" i="3" a="1"/>
  <c r="K3" i="3" s="1"/>
  <c r="K4" i="3" a="1"/>
  <c r="K4" i="3"/>
  <c r="K5" i="3" a="1"/>
  <c r="K5" i="3" s="1"/>
  <c r="K6" i="3" a="1"/>
  <c r="K6" i="3" s="1"/>
  <c r="J3" i="3"/>
  <c r="J4" i="3"/>
  <c r="J5" i="3"/>
  <c r="J6" i="3"/>
  <c r="I3" i="3"/>
  <c r="I4" i="3"/>
  <c r="I5" i="3"/>
  <c r="I6" i="3"/>
  <c r="K2" i="3" a="1"/>
  <c r="K2" i="3" s="1"/>
  <c r="J2" i="3"/>
  <c r="I2" i="3"/>
  <c r="B13" i="2"/>
  <c r="B14" i="2"/>
  <c r="B16" i="2"/>
  <c r="L3" i="2"/>
  <c r="L4" i="2"/>
  <c r="L5" i="2"/>
  <c r="L6" i="2"/>
  <c r="L7" i="2"/>
  <c r="L2" i="2"/>
  <c r="K3" i="2"/>
  <c r="K4" i="2"/>
  <c r="K5" i="2"/>
  <c r="K6" i="2"/>
  <c r="K7" i="2"/>
  <c r="K2" i="2"/>
  <c r="J3" i="2"/>
  <c r="J4" i="2"/>
  <c r="J5" i="2"/>
  <c r="J6" i="2"/>
  <c r="J7" i="2"/>
  <c r="J2" i="2"/>
  <c r="I3" i="2"/>
  <c r="I4" i="2"/>
  <c r="I5" i="2"/>
  <c r="I6" i="2"/>
  <c r="I7" i="2"/>
  <c r="I2" i="2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3" i="1"/>
  <c r="K4" i="1"/>
  <c r="K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I2" i="1"/>
  <c r="H2" i="1"/>
  <c r="K18" i="5" l="1" a="1"/>
  <c r="K18" i="5" s="1"/>
  <c r="N21" i="5" a="1"/>
  <c r="N21" i="5" s="1"/>
  <c r="N18" i="5" a="1"/>
  <c r="N18" i="5" s="1"/>
  <c r="N10" i="5" a="1"/>
  <c r="N10" i="5" s="1"/>
  <c r="N7" i="5" a="1"/>
  <c r="N7" i="5" s="1"/>
  <c r="N4" i="5" a="1"/>
  <c r="N4" i="5" s="1"/>
  <c r="B21" i="5"/>
  <c r="O21" i="5" s="1" a="1"/>
  <c r="O21" i="5" s="1"/>
  <c r="B11" i="5"/>
  <c r="L11" i="5" s="1"/>
  <c r="C20" i="5"/>
  <c r="C9" i="5"/>
  <c r="D20" i="5"/>
  <c r="D12" i="5"/>
  <c r="D4" i="5"/>
  <c r="F16" i="5"/>
  <c r="F8" i="5"/>
  <c r="G20" i="5"/>
  <c r="G12" i="5"/>
  <c r="G4" i="5"/>
  <c r="I19" i="5"/>
  <c r="I11" i="5"/>
  <c r="I3" i="5"/>
  <c r="K17" i="5" a="1"/>
  <c r="K17" i="5" s="1"/>
  <c r="K10" i="5" a="1"/>
  <c r="K10" i="5" s="1"/>
  <c r="N20" i="5" a="1"/>
  <c r="N20" i="5" s="1"/>
  <c r="N15" i="5" a="1"/>
  <c r="N15" i="5" s="1"/>
  <c r="N12" i="5" a="1"/>
  <c r="N12" i="5" s="1"/>
  <c r="N9" i="5" a="1"/>
  <c r="N9" i="5" s="1"/>
  <c r="N6" i="5" a="1"/>
  <c r="N6" i="5" s="1"/>
  <c r="B15" i="5"/>
  <c r="O15" i="5" s="1" a="1"/>
  <c r="O15" i="5" s="1"/>
  <c r="C13" i="5"/>
  <c r="D7" i="5"/>
  <c r="F11" i="5"/>
  <c r="I12" i="5"/>
  <c r="K9" i="5" a="1"/>
  <c r="K9" i="5" s="1"/>
  <c r="N17" i="5" a="1"/>
  <c r="N17" i="5" s="1"/>
  <c r="N14" i="5" a="1"/>
  <c r="N14" i="5" s="1"/>
  <c r="N8" i="5" a="1"/>
  <c r="N8" i="5" s="1"/>
  <c r="N3" i="5" a="1"/>
  <c r="N3" i="5" s="1"/>
  <c r="B4" i="5"/>
  <c r="L4" i="5" s="1"/>
  <c r="C3" i="5"/>
  <c r="D15" i="5"/>
  <c r="F19" i="5"/>
  <c r="F3" i="5"/>
  <c r="G15" i="5"/>
  <c r="G7" i="5"/>
  <c r="I20" i="5"/>
  <c r="I4" i="5"/>
  <c r="K12" i="5" a="1"/>
  <c r="K12" i="5" s="1"/>
  <c r="N13" i="5" a="1"/>
  <c r="N13" i="5" s="1"/>
  <c r="B20" i="5"/>
  <c r="O20" i="5" s="1" a="1"/>
  <c r="O20" i="5" s="1"/>
  <c r="B9" i="5"/>
  <c r="O9" i="5" s="1" a="1"/>
  <c r="O9" i="5" s="1"/>
  <c r="C19" i="5"/>
  <c r="C8" i="5"/>
  <c r="D19" i="5"/>
  <c r="D11" i="5"/>
  <c r="D3" i="5"/>
  <c r="F15" i="5"/>
  <c r="F7" i="5"/>
  <c r="G19" i="5"/>
  <c r="G11" i="5"/>
  <c r="G3" i="5"/>
  <c r="I16" i="5"/>
  <c r="I8" i="5"/>
  <c r="K21" i="5" a="1"/>
  <c r="K21" i="5" s="1"/>
  <c r="K15" i="5" a="1"/>
  <c r="K15" i="5" s="1"/>
  <c r="B16" i="5"/>
  <c r="O16" i="5" s="1" a="1"/>
  <c r="O16" i="5" s="1"/>
  <c r="B5" i="5"/>
  <c r="O5" i="5" s="1" a="1"/>
  <c r="O5" i="5" s="1"/>
  <c r="C15" i="5"/>
  <c r="C4" i="5"/>
  <c r="D16" i="5"/>
  <c r="D8" i="5"/>
  <c r="F20" i="5"/>
  <c r="F12" i="5"/>
  <c r="F4" i="5"/>
  <c r="G16" i="5"/>
  <c r="G8" i="5"/>
  <c r="I15" i="5"/>
  <c r="I7" i="5"/>
  <c r="K20" i="5" a="1"/>
  <c r="K20" i="5" s="1"/>
  <c r="K7" i="5" a="1"/>
  <c r="K7" i="5" s="1"/>
  <c r="N19" i="5" a="1"/>
  <c r="N19" i="5" s="1"/>
  <c r="N16" i="5" a="1"/>
  <c r="N16" i="5" s="1"/>
  <c r="N11" i="5" a="1"/>
  <c r="N11" i="5" s="1"/>
  <c r="N5" i="5" a="1"/>
  <c r="N5" i="5" s="1"/>
  <c r="L15" i="5"/>
  <c r="B2" i="5"/>
  <c r="O2" i="5" s="1" a="1"/>
  <c r="O2" i="5" s="1"/>
  <c r="K2" i="5" a="1"/>
  <c r="K2" i="5" s="1"/>
  <c r="I2" i="5"/>
  <c r="G2" i="5"/>
  <c r="F2" i="5"/>
  <c r="D2" i="5"/>
  <c r="L5" i="5"/>
  <c r="K4" i="5" a="1"/>
  <c r="K4" i="5" s="1"/>
  <c r="B19" i="5"/>
  <c r="O19" i="5" s="1" a="1"/>
  <c r="O19" i="5" s="1"/>
  <c r="B13" i="5"/>
  <c r="O13" i="5" s="1" a="1"/>
  <c r="O13" i="5" s="1"/>
  <c r="B8" i="5"/>
  <c r="O8" i="5" s="1" a="1"/>
  <c r="O8" i="5" s="1"/>
  <c r="B3" i="5"/>
  <c r="O3" i="5" s="1" a="1"/>
  <c r="O3" i="5" s="1"/>
  <c r="C17" i="5"/>
  <c r="C12" i="5"/>
  <c r="C7" i="5"/>
  <c r="E7" i="5" s="1"/>
  <c r="D18" i="5"/>
  <c r="D14" i="5"/>
  <c r="D10" i="5"/>
  <c r="D6" i="5"/>
  <c r="F18" i="5"/>
  <c r="F14" i="5"/>
  <c r="F10" i="5"/>
  <c r="F6" i="5"/>
  <c r="G18" i="5"/>
  <c r="G14" i="5"/>
  <c r="G10" i="5"/>
  <c r="G6" i="5"/>
  <c r="I18" i="5"/>
  <c r="I14" i="5"/>
  <c r="I10" i="5"/>
  <c r="I6" i="5"/>
  <c r="K19" i="5" a="1"/>
  <c r="K19" i="5" s="1"/>
  <c r="K14" i="5" a="1"/>
  <c r="K14" i="5" s="1"/>
  <c r="K11" i="5" a="1"/>
  <c r="K11" i="5" s="1"/>
  <c r="K6" i="5" a="1"/>
  <c r="K6" i="5" s="1"/>
  <c r="K3" i="5" a="1"/>
  <c r="K3" i="5" s="1"/>
  <c r="B17" i="5"/>
  <c r="O17" i="5" s="1" a="1"/>
  <c r="O17" i="5" s="1"/>
  <c r="B12" i="5"/>
  <c r="O12" i="5" s="1" a="1"/>
  <c r="O12" i="5" s="1"/>
  <c r="B7" i="5"/>
  <c r="C21" i="5"/>
  <c r="C16" i="5"/>
  <c r="C11" i="5"/>
  <c r="C5" i="5"/>
  <c r="D21" i="5"/>
  <c r="D17" i="5"/>
  <c r="D13" i="5"/>
  <c r="D9" i="5"/>
  <c r="D5" i="5"/>
  <c r="F21" i="5"/>
  <c r="F17" i="5"/>
  <c r="F13" i="5"/>
  <c r="F9" i="5"/>
  <c r="F5" i="5"/>
  <c r="G21" i="5"/>
  <c r="G17" i="5"/>
  <c r="G13" i="5"/>
  <c r="G9" i="5"/>
  <c r="G5" i="5"/>
  <c r="I21" i="5"/>
  <c r="I17" i="5"/>
  <c r="I13" i="5"/>
  <c r="I9" i="5"/>
  <c r="I5" i="5"/>
  <c r="K16" i="5" a="1"/>
  <c r="K16" i="5" s="1"/>
  <c r="K13" i="5" a="1"/>
  <c r="K13" i="5" s="1"/>
  <c r="K8" i="5" a="1"/>
  <c r="K8" i="5" s="1"/>
  <c r="K5" i="5" a="1"/>
  <c r="K5" i="5" s="1"/>
  <c r="B18" i="5"/>
  <c r="O18" i="5" s="1" a="1"/>
  <c r="O18" i="5" s="1"/>
  <c r="B14" i="5"/>
  <c r="O14" i="5" s="1" a="1"/>
  <c r="O14" i="5" s="1"/>
  <c r="B10" i="5"/>
  <c r="O10" i="5" s="1" a="1"/>
  <c r="O10" i="5" s="1"/>
  <c r="B6" i="5"/>
  <c r="O6" i="5" s="1" a="1"/>
  <c r="O6" i="5" s="1"/>
  <c r="C2" i="5"/>
  <c r="C18" i="5"/>
  <c r="E18" i="5" s="1"/>
  <c r="C14" i="5"/>
  <c r="C10" i="5"/>
  <c r="C6" i="5"/>
  <c r="L9" i="5" l="1"/>
  <c r="H9" i="5"/>
  <c r="E16" i="5"/>
  <c r="M16" i="5" s="1" a="1"/>
  <c r="M16" i="5" s="1"/>
  <c r="H20" i="5"/>
  <c r="H4" i="5"/>
  <c r="E15" i="5"/>
  <c r="M15" i="5" s="1" a="1"/>
  <c r="M15" i="5" s="1"/>
  <c r="E19" i="5"/>
  <c r="M19" i="5" s="1" a="1"/>
  <c r="M19" i="5" s="1"/>
  <c r="H15" i="5"/>
  <c r="E2" i="5"/>
  <c r="H16" i="5"/>
  <c r="E9" i="5"/>
  <c r="M9" i="5" s="1" a="1"/>
  <c r="M9" i="5" s="1"/>
  <c r="E14" i="5"/>
  <c r="E13" i="5"/>
  <c r="E11" i="5"/>
  <c r="M11" i="5" s="1" a="1"/>
  <c r="M11" i="5" s="1"/>
  <c r="E12" i="5"/>
  <c r="M12" i="5" s="1" a="1"/>
  <c r="M12" i="5" s="1"/>
  <c r="L21" i="5"/>
  <c r="L16" i="5"/>
  <c r="L20" i="5"/>
  <c r="H5" i="5"/>
  <c r="H21" i="5"/>
  <c r="E3" i="5"/>
  <c r="H11" i="5"/>
  <c r="O11" i="5" a="1"/>
  <c r="O11" i="5" s="1"/>
  <c r="J15" i="5"/>
  <c r="O4" i="5" a="1"/>
  <c r="O4" i="5" s="1"/>
  <c r="J7" i="5"/>
  <c r="O7" i="5" a="1"/>
  <c r="O7" i="5" s="1"/>
  <c r="J19" i="5"/>
  <c r="E8" i="5"/>
  <c r="E4" i="5"/>
  <c r="M4" i="5" s="1" a="1"/>
  <c r="M4" i="5" s="1"/>
  <c r="E20" i="5"/>
  <c r="M20" i="5" s="1" a="1"/>
  <c r="M20" i="5" s="1"/>
  <c r="L8" i="5"/>
  <c r="M8" i="5" a="1"/>
  <c r="M8" i="5" s="1"/>
  <c r="H8" i="5"/>
  <c r="L2" i="5"/>
  <c r="M2" i="5" a="1"/>
  <c r="M2" i="5" s="1"/>
  <c r="H2" i="5"/>
  <c r="J20" i="5"/>
  <c r="J11" i="5"/>
  <c r="J14" i="5"/>
  <c r="E17" i="5"/>
  <c r="M17" i="5" s="1" a="1"/>
  <c r="M17" i="5" s="1"/>
  <c r="L19" i="5"/>
  <c r="H19" i="5"/>
  <c r="J4" i="5"/>
  <c r="J16" i="5"/>
  <c r="L14" i="5"/>
  <c r="H14" i="5"/>
  <c r="M14" i="5" a="1"/>
  <c r="M14" i="5" s="1"/>
  <c r="J17" i="5"/>
  <c r="L12" i="5"/>
  <c r="H12" i="5"/>
  <c r="J6" i="5"/>
  <c r="J2" i="5"/>
  <c r="E6" i="5"/>
  <c r="L18" i="5"/>
  <c r="H18" i="5"/>
  <c r="M18" i="5" a="1"/>
  <c r="M18" i="5" s="1"/>
  <c r="J5" i="5"/>
  <c r="J21" i="5"/>
  <c r="H17" i="5"/>
  <c r="L17" i="5"/>
  <c r="J10" i="5"/>
  <c r="M13" i="5" a="1"/>
  <c r="M13" i="5" s="1"/>
  <c r="H13" i="5"/>
  <c r="L13" i="5"/>
  <c r="J8" i="5"/>
  <c r="E10" i="5"/>
  <c r="L6" i="5"/>
  <c r="H6" i="5"/>
  <c r="M6" i="5" a="1"/>
  <c r="M6" i="5" s="1"/>
  <c r="J9" i="5"/>
  <c r="E21" i="5"/>
  <c r="M21" i="5" s="1" a="1"/>
  <c r="M21" i="5" s="1"/>
  <c r="L10" i="5"/>
  <c r="H10" i="5"/>
  <c r="M10" i="5" a="1"/>
  <c r="M10" i="5" s="1"/>
  <c r="J13" i="5"/>
  <c r="E5" i="5"/>
  <c r="M5" i="5" s="1" a="1"/>
  <c r="M5" i="5" s="1"/>
  <c r="M7" i="5" a="1"/>
  <c r="M7" i="5" s="1"/>
  <c r="L7" i="5"/>
  <c r="H7" i="5"/>
  <c r="J18" i="5"/>
  <c r="M3" i="5" a="1"/>
  <c r="M3" i="5" s="1"/>
  <c r="L3" i="5"/>
  <c r="H3" i="5"/>
  <c r="J12" i="5"/>
  <c r="J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<sst xmlns="http://schemas.openxmlformats.org/spreadsheetml/2006/main" count="368" uniqueCount="143">
  <si>
    <t>年月</t>
  </si>
  <si>
    <t>订单数量</t>
  </si>
  <si>
    <t>客户数量</t>
  </si>
  <si>
    <t>支付总金额</t>
  </si>
  <si>
    <t>平均订单金额</t>
  </si>
  <si>
    <t>上月支付金额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</si>
  <si>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</si>
  <si>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</si>
  <si>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</si>
  <si>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</si>
  <si>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</si>
  <si>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</si>
  <si>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</si>
  <si>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</si>
  <si>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</si>
  <si>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</si>
  <si>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</si>
  <si>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</si>
  <si>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</si>
  <si>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</si>
  <si>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</si>
  <si>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</si>
  <si>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</si>
  <si>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</si>
  <si>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</si>
  <si>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</si>
  <si>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</si>
  <si>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</si>
  <si>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</si>
  <si>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金额档位</t>
  </si>
  <si>
    <t>档位总金额</t>
  </si>
  <si>
    <t>平均支付次数</t>
  </si>
  <si>
    <t>平均最大分期数</t>
  </si>
  <si>
    <t>订单占比百分比</t>
  </si>
  <si>
    <t>金额占比百分比</t>
  </si>
  <si>
    <t>0-50元</t>
  </si>
  <si>
    <t>51-100元</t>
  </si>
  <si>
    <t>101-200元</t>
  </si>
  <si>
    <t>201-500元</t>
  </si>
  <si>
    <t>501-1000元</t>
  </si>
  <si>
    <t>1000元以上</t>
  </si>
  <si>
    <t>用户分层</t>
  </si>
  <si>
    <t>用户数量</t>
  </si>
  <si>
    <t>平均最近购买天数</t>
  </si>
  <si>
    <t>平均购买次数</t>
  </si>
  <si>
    <t>平均消费金额</t>
  </si>
  <si>
    <t>分层总消费</t>
  </si>
  <si>
    <t>用户占比百分比</t>
  </si>
  <si>
    <t>消费占比百分比</t>
  </si>
  <si>
    <t>高价值活跃用户</t>
  </si>
  <si>
    <t>高价值新用户</t>
  </si>
  <si>
    <t>频繁购买用户</t>
  </si>
  <si>
    <t>一般用户</t>
  </si>
  <si>
    <t>流失风险用户</t>
  </si>
  <si>
    <t>销售月份</t>
  </si>
  <si>
    <t>商品类别</t>
  </si>
  <si>
    <t>销售订单数</t>
  </si>
  <si>
    <t>销售总额</t>
  </si>
  <si>
    <t>销售数量</t>
  </si>
  <si>
    <t>平均单价</t>
  </si>
  <si>
    <t>月度销售额排名</t>
  </si>
  <si>
    <t>月度销售额占比百分比</t>
  </si>
  <si>
    <t>beleza_saude</t>
  </si>
  <si>
    <t>moveis_decoracao</t>
  </si>
  <si>
    <t>perfumaria</t>
  </si>
  <si>
    <t>brinquedos</t>
  </si>
  <si>
    <t>consoles_games</t>
  </si>
  <si>
    <t>relogios_presentes</t>
  </si>
  <si>
    <t>esporte_lazer</t>
  </si>
  <si>
    <t>bebes</t>
  </si>
  <si>
    <t>ferramentas_jardim</t>
  </si>
  <si>
    <t>climatizacao</t>
  </si>
  <si>
    <t>fashion_bolsas_e_acessorios</t>
  </si>
  <si>
    <t>cool_stuff</t>
  </si>
  <si>
    <t>automotivo</t>
  </si>
  <si>
    <t>cama_mesa_banho</t>
  </si>
  <si>
    <t>informatica_acessorios</t>
  </si>
  <si>
    <t>utilidades_domesticas</t>
  </si>
  <si>
    <t>eletroportateis</t>
  </si>
  <si>
    <t>pcs</t>
  </si>
  <si>
    <t>papelaria</t>
  </si>
  <si>
    <t>telefonia</t>
  </si>
  <si>
    <t>年</t>
    <phoneticPr fontId="1" type="noConversion"/>
  </si>
  <si>
    <t>季度</t>
    <phoneticPr fontId="1" type="noConversion"/>
  </si>
  <si>
    <t>增长状态</t>
    <phoneticPr fontId="1" type="noConversion"/>
  </si>
  <si>
    <t>累计支付金额</t>
    <phoneticPr fontId="1" type="noConversion"/>
  </si>
  <si>
    <t>月环比增长率(%)</t>
    <phoneticPr fontId="1" type="noConversion"/>
  </si>
  <si>
    <t>列1</t>
  </si>
  <si>
    <t>累计订单占比</t>
  </si>
  <si>
    <t>累计金额占比</t>
    <phoneticPr fontId="1" type="noConversion"/>
  </si>
  <si>
    <t>帕累托分类</t>
  </si>
  <si>
    <t>价值密度</t>
  </si>
  <si>
    <t>支付结构分析</t>
  </si>
  <si>
    <t>总订单数：</t>
  </si>
  <si>
    <t>总金额：</t>
  </si>
  <si>
    <t>平均订单金额：</t>
  </si>
  <si>
    <t>80%金额来自:</t>
    <phoneticPr fontId="1" type="noConversion"/>
  </si>
  <si>
    <t>列2</t>
  </si>
  <si>
    <t>人均消费</t>
  </si>
  <si>
    <t>用户价值得分</t>
  </si>
  <si>
    <t>运营优先级</t>
  </si>
  <si>
    <t>R\F</t>
    <phoneticPr fontId="1" type="noConversion"/>
  </si>
  <si>
    <t>高活跃</t>
    <phoneticPr fontId="1" type="noConversion"/>
  </si>
  <si>
    <t>高价值</t>
    <phoneticPr fontId="1" type="noConversion"/>
  </si>
  <si>
    <t>中价值</t>
    <phoneticPr fontId="1" type="noConversion"/>
  </si>
  <si>
    <t>品类名称</t>
    <phoneticPr fontId="1" type="noConversion"/>
  </si>
  <si>
    <t>总上榜次数</t>
    <phoneticPr fontId="1" type="noConversion"/>
  </si>
  <si>
    <t>首次上榜时间</t>
    <phoneticPr fontId="1" type="noConversion"/>
  </si>
  <si>
    <t>最近上榜时间</t>
    <phoneticPr fontId="1" type="noConversion"/>
  </si>
  <si>
    <t>时间跨度</t>
    <phoneticPr fontId="1" type="noConversion"/>
  </si>
  <si>
    <t>最好排名</t>
    <phoneticPr fontId="1" type="noConversion"/>
  </si>
  <si>
    <t>最差排名</t>
    <phoneticPr fontId="1" type="noConversion"/>
  </si>
  <si>
    <t>排名波动</t>
    <phoneticPr fontId="1" type="noConversion"/>
  </si>
  <si>
    <t>总销售额</t>
    <phoneticPr fontId="1" type="noConversion"/>
  </si>
  <si>
    <t>品类价值评分</t>
    <phoneticPr fontId="1" type="noConversion"/>
  </si>
  <si>
    <t>季节性指数</t>
  </si>
  <si>
    <t>上榜月份密度</t>
  </si>
  <si>
    <t>活跃期分类</t>
    <phoneticPr fontId="1" type="noConversion"/>
  </si>
  <si>
    <t>趋势方向</t>
  </si>
  <si>
    <t>月份分布集中度</t>
    <phoneticPr fontId="1" type="noConversion"/>
  </si>
  <si>
    <t>活跃期分类</t>
  </si>
  <si>
    <t>(全部)</t>
  </si>
  <si>
    <t>行标签</t>
  </si>
  <si>
    <t>平均价值评分</t>
  </si>
  <si>
    <t>总记销售额</t>
  </si>
  <si>
    <t>总记上榜次数</t>
  </si>
  <si>
    <t>平均集中度</t>
  </si>
  <si>
    <t>平稳趋势</t>
  </si>
  <si>
    <t>上升趋势</t>
  </si>
  <si>
    <t>数据不足</t>
  </si>
  <si>
    <t>下降趋势</t>
  </si>
  <si>
    <t>平均销售额</t>
  </si>
  <si>
    <t>品类数量</t>
  </si>
  <si>
    <t>低集中度</t>
  </si>
  <si>
    <t>中集中度</t>
  </si>
  <si>
    <t>高集中度</t>
  </si>
  <si>
    <t>月份分布集中度</t>
  </si>
  <si>
    <t>集中度价值分析表</t>
    <phoneticPr fontId="1" type="noConversion"/>
  </si>
  <si>
    <t>参考数据线</t>
    <phoneticPr fontId="1" type="noConversion"/>
  </si>
  <si>
    <t>垂直线</t>
    <phoneticPr fontId="1" type="noConversion"/>
  </si>
  <si>
    <t>水平线</t>
    <phoneticPr fontId="1" type="noConversion"/>
  </si>
  <si>
    <r>
      <t>X</t>
    </r>
    <r>
      <rPr>
        <sz val="11"/>
        <rFont val="宋体"/>
        <family val="3"/>
        <charset val="134"/>
      </rPr>
      <t>值</t>
    </r>
    <phoneticPr fontId="1" type="noConversion"/>
  </si>
  <si>
    <r>
      <t>Y</t>
    </r>
    <r>
      <rPr>
        <sz val="11"/>
        <rFont val="宋体"/>
        <family val="3"/>
        <charset val="134"/>
      </rPr>
      <t>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</si>
</sst>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"/>
    <numFmt numFmtId="177" formatCode="yyyy/m"/>
    <numFmt numFmtId="178" formatCode="&quot;¥&quot;#,##0.00_);[Red]\(&quot;¥&quot;#,##0.00\)"/>
    <numFmt numFmtId="179" formatCode="0.0%"/>
  </numFmts>
  <fonts count="9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8"/>
      <color rgb="FF0F1115"/>
      <name val="Consolas"/>
      <family val="3"/>
    </font>
    <font>
      <sz val="11"/>
      <name val="宋体"/>
      <family val="3"/>
      <charset val="134"/>
    </font>
    <font>
      <sz val="11"/>
      <color rgb="FF0F1115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name val="Calibri"/>
      <family val="2"/>
    </font>
    <font>
      <b/>
      <sz val="14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176" fontId="2" fillId="0" borderId="0" xfId="0" applyNumberFormat="1" applyFont="1"/>
    <xf numFmtId="176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0" fillId="0" borderId="0" xfId="0" pivotButton="1"/>
    <xf numFmtId="178" fontId="0" fillId="0" borderId="0" xfId="0" applyNumberFormat="1"/>
    <xf numFmtId="10" fontId="0" fillId="0" borderId="0" xfId="0" applyNumberFormat="1"/>
    <xf numFmtId="0" fontId="6" fillId="2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/>
    </xf>
    <xf numFmtId="179" fontId="0" fillId="0" borderId="0" xfId="0" applyNumberFormat="1"/>
    <xf numFmtId="0" fontId="2" fillId="0" borderId="0" xfId="0" pivotButton="1" applyFont="1"/>
    <xf numFmtId="10" fontId="2" fillId="0" borderId="0" xfId="0" applyNumberFormat="1" applyFont="1" applyAlignment="1">
      <alignment horizontal="left"/>
    </xf>
    <xf numFmtId="0" fontId="2" fillId="0" borderId="0" xfId="0" applyNumberFormat="1" applyFont="1"/>
    <xf numFmtId="178" fontId="2" fillId="0" borderId="0" xfId="0" applyNumberFormat="1" applyFont="1"/>
    <xf numFmtId="10" fontId="2" fillId="0" borderId="0" xfId="0" applyNumberFormat="1" applyFont="1"/>
    <xf numFmtId="0" fontId="8" fillId="0" borderId="0" xfId="0" applyFont="1" applyAlignment="1">
      <alignment horizontal="left"/>
    </xf>
    <xf numFmtId="10" fontId="4" fillId="0" borderId="0" xfId="0" applyNumberFormat="1" applyFont="1"/>
    <xf numFmtId="178" fontId="4" fillId="0" borderId="0" xfId="0" applyNumberFormat="1" applyFont="1"/>
    <xf numFmtId="0" fontId="7" fillId="0" borderId="0" xfId="0" applyFont="1"/>
  </cellXfs>
  <cellStyles count="1">
    <cellStyle name="常规" xfId="0" builtinId="0"/>
  </cellStyles>
  <dxfs count="60">
    <dxf>
      <font>
        <color rgb="FF9C0006"/>
      </font>
      <fill>
        <patternFill>
          <bgColor rgb="FFFFC7CE"/>
        </patternFill>
      </fill>
    </dxf>
    <dxf>
      <numFmt numFmtId="179" formatCode="0.0%"/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font>
        <name val="微软雅黑"/>
        <family val="2"/>
        <charset val="134"/>
      </font>
    </dxf>
    <dxf>
      <numFmt numFmtId="179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微软雅黑"/>
        <family val="2"/>
        <charset val="134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微软雅黑"/>
        <family val="2"/>
        <charset val="134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'表1 月度销售分析'!$D$1</c:f>
              <c:strCache>
                <c:ptCount val="1"/>
                <c:pt idx="0">
                  <c:v>支付总金额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'表1 月度销售分析'!$A$2:$A$25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'表1 月度销售分析'!$D$2:$D$25</c:f>
              <c:numCache>
                <c:formatCode>General</c:formatCode>
                <c:ptCount val="24"/>
                <c:pt idx="1">
                  <c:v>46566.710000000006</c:v>
                </c:pt>
                <c:pt idx="2">
                  <c:v>19.62</c:v>
                </c:pt>
                <c:pt idx="3">
                  <c:v>127545.66999999991</c:v>
                </c:pt>
                <c:pt idx="4">
                  <c:v>271298.64999999962</c:v>
                </c:pt>
                <c:pt idx="5">
                  <c:v>414369.39000000019</c:v>
                </c:pt>
                <c:pt idx="6">
                  <c:v>390952.17999999953</c:v>
                </c:pt>
                <c:pt idx="7">
                  <c:v>567066.73000000254</c:v>
                </c:pt>
                <c:pt idx="8">
                  <c:v>490225.6000000037</c:v>
                </c:pt>
                <c:pt idx="9">
                  <c:v>566403.93000000413</c:v>
                </c:pt>
                <c:pt idx="10">
                  <c:v>646000.6100000029</c:v>
                </c:pt>
                <c:pt idx="11">
                  <c:v>701169.99000000022</c:v>
                </c:pt>
                <c:pt idx="12">
                  <c:v>751140.27000000118</c:v>
                </c:pt>
                <c:pt idx="13">
                  <c:v>1153528.0500000031</c:v>
                </c:pt>
                <c:pt idx="14">
                  <c:v>843199.17000000202</c:v>
                </c:pt>
                <c:pt idx="15">
                  <c:v>1078606.8599999996</c:v>
                </c:pt>
                <c:pt idx="16">
                  <c:v>966510.88</c:v>
                </c:pt>
                <c:pt idx="17">
                  <c:v>1120677.9999999956</c:v>
                </c:pt>
                <c:pt idx="18">
                  <c:v>1132933.9499999918</c:v>
                </c:pt>
                <c:pt idx="19">
                  <c:v>1128836.6899999995</c:v>
                </c:pt>
                <c:pt idx="20">
                  <c:v>1012090.6799999945</c:v>
                </c:pt>
                <c:pt idx="21">
                  <c:v>1027903.86</c:v>
                </c:pt>
                <c:pt idx="22">
                  <c:v>985414.27999999642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1-4304-AC2C-5A5DD01F6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966335"/>
        <c:axId val="1994965375"/>
      </c:lineChart>
      <c:catAx>
        <c:axId val="19949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65375"/>
        <c:crosses val="autoZero"/>
        <c:auto val="1"/>
        <c:lblAlgn val="ctr"/>
        <c:lblOffset val="100"/>
        <c:noMultiLvlLbl val="0"/>
      </c:catAx>
      <c:valAx>
        <c:axId val="19949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6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'表1 月度销售分析'!$D$1</c:f>
              <c:strCache>
                <c:ptCount val="1"/>
                <c:pt idx="0">
                  <c:v>支付总金额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'表1 月度销售分析'!$A$2:$A$25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'表1 月度销售分析'!$D$2:$D$25</c:f>
              <c:numCache>
                <c:formatCode>General</c:formatCode>
                <c:ptCount val="24"/>
                <c:pt idx="1">
                  <c:v>46566.710000000006</c:v>
                </c:pt>
                <c:pt idx="2">
                  <c:v>19.62</c:v>
                </c:pt>
                <c:pt idx="3">
                  <c:v>127545.66999999991</c:v>
                </c:pt>
                <c:pt idx="4">
                  <c:v>271298.64999999962</c:v>
                </c:pt>
                <c:pt idx="5">
                  <c:v>414369.39000000019</c:v>
                </c:pt>
                <c:pt idx="6">
                  <c:v>390952.17999999953</c:v>
                </c:pt>
                <c:pt idx="7">
                  <c:v>567066.73000000254</c:v>
                </c:pt>
                <c:pt idx="8">
                  <c:v>490225.6000000037</c:v>
                </c:pt>
                <c:pt idx="9">
                  <c:v>566403.93000000413</c:v>
                </c:pt>
                <c:pt idx="10">
                  <c:v>646000.6100000029</c:v>
                </c:pt>
                <c:pt idx="11">
                  <c:v>701169.99000000022</c:v>
                </c:pt>
                <c:pt idx="12">
                  <c:v>751140.27000000118</c:v>
                </c:pt>
                <c:pt idx="13">
                  <c:v>1153528.0500000031</c:v>
                </c:pt>
                <c:pt idx="14">
                  <c:v>843199.17000000202</c:v>
                </c:pt>
                <c:pt idx="15">
                  <c:v>1078606.8599999996</c:v>
                </c:pt>
                <c:pt idx="16">
                  <c:v>966510.88</c:v>
                </c:pt>
                <c:pt idx="17">
                  <c:v>1120677.9999999956</c:v>
                </c:pt>
                <c:pt idx="18">
                  <c:v>1132933.9499999918</c:v>
                </c:pt>
                <c:pt idx="19">
                  <c:v>1128836.6899999995</c:v>
                </c:pt>
                <c:pt idx="20">
                  <c:v>1012090.6799999945</c:v>
                </c:pt>
                <c:pt idx="21">
                  <c:v>1027903.86</c:v>
                </c:pt>
                <c:pt idx="22">
                  <c:v>985414.27999999642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9-4B88-9901-EA1E8C65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963455"/>
        <c:axId val="1994949055"/>
      </c:barChart>
      <c:lineChart>
        <c:grouping val="standard"/>
        <c:varyColors val="0"/>
        <c:ser>
          <c:idx val="1"/>
          <c:order val="1"/>
          <c:tx>
            <c:strRef>
              <c:f>'表1 月度销售分析'!$E$1</c:f>
              <c:strCache>
                <c:ptCount val="1"/>
                <c:pt idx="0">
                  <c:v>平均订单金额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'表1 月度销售分析'!$A$2:$A$25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'表1 月度销售分析'!$E$2:$E$25</c:f>
              <c:numCache>
                <c:formatCode>General</c:formatCode>
                <c:ptCount val="24"/>
                <c:pt idx="1">
                  <c:v>165.13017730496455</c:v>
                </c:pt>
                <c:pt idx="2">
                  <c:v>19.62</c:v>
                </c:pt>
                <c:pt idx="3">
                  <c:v>159.63162703379214</c:v>
                </c:pt>
                <c:pt idx="4">
                  <c:v>155.11643796455095</c:v>
                </c:pt>
                <c:pt idx="5">
                  <c:v>153.47014444444451</c:v>
                </c:pt>
                <c:pt idx="6">
                  <c:v>160.48940065681427</c:v>
                </c:pt>
                <c:pt idx="7">
                  <c:v>149.74035648270467</c:v>
                </c:pt>
                <c:pt idx="8">
                  <c:v>147.52500752332341</c:v>
                </c:pt>
                <c:pt idx="9">
                  <c:v>136.58160839160939</c:v>
                </c:pt>
                <c:pt idx="10">
                  <c:v>147.05226724334233</c:v>
                </c:pt>
                <c:pt idx="11">
                  <c:v>160.41409059711742</c:v>
                </c:pt>
                <c:pt idx="12">
                  <c:v>159.88511494252899</c:v>
                </c:pt>
                <c:pt idx="13">
                  <c:v>151.91993283287277</c:v>
                </c:pt>
                <c:pt idx="14">
                  <c:v>147.18086402513563</c:v>
                </c:pt>
                <c:pt idx="15">
                  <c:v>146.72926948714456</c:v>
                </c:pt>
                <c:pt idx="16">
                  <c:v>142.63737898465172</c:v>
                </c:pt>
                <c:pt idx="17">
                  <c:v>153.58064958201939</c:v>
                </c:pt>
                <c:pt idx="18">
                  <c:v>160.3132800339595</c:v>
                </c:pt>
                <c:pt idx="19">
                  <c:v>161.21632247929156</c:v>
                </c:pt>
                <c:pt idx="20">
                  <c:v>159.38435905511724</c:v>
                </c:pt>
                <c:pt idx="21">
                  <c:v>161.36638304552591</c:v>
                </c:pt>
                <c:pt idx="22">
                  <c:v>150.79024942616624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9-4B88-9901-EA1E8C65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946655"/>
        <c:axId val="1994957215"/>
      </c:lineChart>
      <c:catAx>
        <c:axId val="19949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49055"/>
        <c:crosses val="autoZero"/>
        <c:auto val="1"/>
        <c:lblAlgn val="ctr"/>
        <c:lblOffset val="100"/>
        <c:noMultiLvlLbl val="0"/>
      </c:catAx>
      <c:valAx>
        <c:axId val="19949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63455"/>
        <c:crosses val="autoZero"/>
        <c:crossBetween val="between"/>
      </c:valAx>
      <c:valAx>
        <c:axId val="1994957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46655"/>
        <c:crosses val="max"/>
        <c:crossBetween val="between"/>
      </c:valAx>
      <c:catAx>
        <c:axId val="1994946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495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'表2 支付金额分析'!$G$1</c:f>
              <c:strCache>
                <c:ptCount val="1"/>
                <c:pt idx="0">
                  <c:v>订单占比百分比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'表2 支付金额分析'!$A$2:$A$7</c:f>
              <c:strCache>
                <c:ptCount val="6"/>
                <c:pt idx="0">
                  <c:v>0-50元</c:v>
                </c:pt>
                <c:pt idx="1">
                  <c:v>51-100元</c:v>
                </c:pt>
                <c:pt idx="2">
                  <c:v>101-200元</c:v>
                </c:pt>
                <c:pt idx="3">
                  <c:v>201-500元</c:v>
                </c:pt>
                <c:pt idx="4">
                  <c:v>501-1000元</c:v>
                </c:pt>
                <c:pt idx="5">
                  <c:v>1000元以上</c:v>
                </c:pt>
              </c:strCache>
            </c:strRef>
          </c:cat>
          <c:val>
            <c:numRef>
              <c:f>'表2 支付金额分析'!$G$2:$G$7</c:f>
              <c:numCache>
                <c:formatCode>General</c:formatCode>
                <c:ptCount val="6"/>
                <c:pt idx="0">
                  <c:v>17.100000000000001</c:v>
                </c:pt>
                <c:pt idx="1">
                  <c:v>30.5</c:v>
                </c:pt>
                <c:pt idx="2">
                  <c:v>32.15</c:v>
                </c:pt>
                <c:pt idx="3">
                  <c:v>16.03</c:v>
                </c:pt>
                <c:pt idx="4">
                  <c:v>3.08</c:v>
                </c:pt>
                <c:pt idx="5">
                  <c:v>1.1499999999999999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7-44F6-8F0D-110F48A7D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4960095"/>
        <c:axId val="1994961055"/>
      </c:barChart>
      <c:lineChart>
        <c:grouping val="standard"/>
        <c:varyColors val="0"/>
        <c:ser>
          <c:idx val="1"/>
          <c:order val="1"/>
          <c:tx>
            <c:strRef>
              <c:f>'表2 支付金额分析'!$H$1</c:f>
              <c:strCache>
                <c:ptCount val="1"/>
                <c:pt idx="0">
                  <c:v>金额占比百分比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'表2 支付金额分析'!$A$2:$A$7</c:f>
              <c:strCache>
                <c:ptCount val="6"/>
                <c:pt idx="0">
                  <c:v>0-50元</c:v>
                </c:pt>
                <c:pt idx="1">
                  <c:v>51-100元</c:v>
                </c:pt>
                <c:pt idx="2">
                  <c:v>101-200元</c:v>
                </c:pt>
                <c:pt idx="3">
                  <c:v>201-500元</c:v>
                </c:pt>
                <c:pt idx="4">
                  <c:v>501-1000元</c:v>
                </c:pt>
                <c:pt idx="5">
                  <c:v>1000元以上</c:v>
                </c:pt>
              </c:strCache>
            </c:strRef>
          </c:cat>
          <c:val>
            <c:numRef>
              <c:f>'表2 支付金额分析'!$H$2:$H$7</c:f>
              <c:numCache>
                <c:formatCode>General</c:formatCode>
                <c:ptCount val="6"/>
                <c:pt idx="0">
                  <c:v>3.95</c:v>
                </c:pt>
                <c:pt idx="1">
                  <c:v>13.99</c:v>
                </c:pt>
                <c:pt idx="2">
                  <c:v>28.55</c:v>
                </c:pt>
                <c:pt idx="3">
                  <c:v>29.07</c:v>
                </c:pt>
                <c:pt idx="4">
                  <c:v>13.1</c:v>
                </c:pt>
                <c:pt idx="5">
                  <c:v>11.34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7-44F6-8F0D-110F48A7D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950975"/>
        <c:axId val="1994948095"/>
      </c:lineChart>
      <c:catAx>
        <c:axId val="19949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61055"/>
        <c:crosses val="autoZero"/>
        <c:auto val="1"/>
        <c:lblAlgn val="ctr"/>
        <c:lblOffset val="100"/>
        <c:noMultiLvlLbl val="0"/>
      </c:catAx>
      <c:valAx>
        <c:axId val="19949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60095"/>
        <c:crosses val="autoZero"/>
        <c:crossBetween val="between"/>
      </c:valAx>
      <c:valAx>
        <c:axId val="19949480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50975"/>
        <c:crosses val="max"/>
        <c:crossBetween val="between"/>
      </c:valAx>
      <c:catAx>
        <c:axId val="1994950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4948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'表2 支付金额分析'!$A$2</c:f>
              <c:strCache>
                <c:ptCount val="1"/>
                <c:pt idx="0">
                  <c:v>0-50元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'表2 支付金额分析'!$H$1</c:f>
              <c:strCache>
                <c:ptCount val="1"/>
                <c:pt idx="0">
                  <c:v>金额占比百分比</c:v>
                </c:pt>
              </c:strCache>
            </c:strRef>
          </c:cat>
          <c:val>
            <c:numRef>
              <c:f>'表2 支付金额分析'!$H$2</c:f>
              <c:numCache>
                <c:formatCode>General</c:formatCode>
                <c:ptCount val="1"/>
                <c:pt idx="0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F-40E9-8F6E-CD33AC713702}"/>
            </c:ext>
          </c:extLst>
        </c:ser>
        <c:ser>
          <c:idx val="1"/>
          <c:order val="1"/>
          <c:tx>
            <c:strRef>
              <c:f>'表2 支付金额分析'!$A$3</c:f>
              <c:strCache>
                <c:ptCount val="1"/>
                <c:pt idx="0">
                  <c:v>51-100元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'表2 支付金额分析'!$H$1</c:f>
              <c:strCache>
                <c:ptCount val="1"/>
                <c:pt idx="0">
                  <c:v>金额占比百分比</c:v>
                </c:pt>
              </c:strCache>
            </c:strRef>
          </c:cat>
          <c:val>
            <c:numRef>
              <c:f>'表2 支付金额分析'!$H$3</c:f>
              <c:numCache>
                <c:formatCode>General</c:formatCode>
                <c:ptCount val="1"/>
                <c:pt idx="0">
                  <c:v>13.99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F-40E9-8F6E-CD33AC713702}"/>
            </c:ext>
          </c:extLst>
        </c:ser>
        <c:ser>
          <c:idx val="2"/>
          <c:order val="2"/>
          <c:tx>
            <c:strRef>
              <c:f>'表2 支付金额分析'!$A$4</c:f>
              <c:strCache>
                <c:ptCount val="1"/>
                <c:pt idx="0">
                  <c:v>101-200元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'表2 支付金额分析'!$H$1</c:f>
              <c:strCache>
                <c:ptCount val="1"/>
                <c:pt idx="0">
                  <c:v>金额占比百分比</c:v>
                </c:pt>
              </c:strCache>
            </c:strRef>
          </c:cat>
          <c:val>
            <c:numRef>
              <c:f>'表2 支付金额分析'!$H$4</c:f>
              <c:numCache>
                <c:formatCode>General</c:formatCode>
                <c:ptCount val="1"/>
                <c:pt idx="0">
                  <c:v>28.55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F-40E9-8F6E-CD33AC713702}"/>
            </c:ext>
          </c:extLst>
        </c:ser>
        <c:ser>
          <c:idx val="3"/>
          <c:order val="3"/>
          <c:tx>
            <c:strRef>
              <c:f>'表2 支付金额分析'!$A$5</c:f>
              <c:strCache>
                <c:ptCount val="1"/>
                <c:pt idx="0">
                  <c:v>201-500元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'表2 支付金额分析'!$H$1</c:f>
              <c:strCache>
                <c:ptCount val="1"/>
                <c:pt idx="0">
                  <c:v>金额占比百分比</c:v>
                </c:pt>
              </c:strCache>
            </c:strRef>
          </c:cat>
          <c:val>
            <c:numRef>
              <c:f>'表2 支付金额分析'!$H$5</c:f>
              <c:numCache>
                <c:formatCode>General</c:formatCode>
                <c:ptCount val="1"/>
                <c:pt idx="0">
                  <c:v>29.07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1F-40E9-8F6E-CD33AC713702}"/>
            </c:ext>
          </c:extLst>
        </c:ser>
        <c:ser>
          <c:idx val="4"/>
          <c:order val="4"/>
          <c:tx>
            <c:strRef>
              <c:f>'表2 支付金额分析'!$A$6</c:f>
              <c:strCache>
                <c:ptCount val="1"/>
                <c:pt idx="0">
                  <c:v>501-1000元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'表2 支付金额分析'!$H$1</c:f>
              <c:strCache>
                <c:ptCount val="1"/>
                <c:pt idx="0">
                  <c:v>金额占比百分比</c:v>
                </c:pt>
              </c:strCache>
            </c:strRef>
          </c:cat>
          <c:val>
            <c:numRef>
              <c:f>'表2 支付金额分析'!$H$6</c:f>
              <c:numCache>
                <c:formatCode>General</c:formatCode>
                <c:ptCount val="1"/>
                <c:pt idx="0">
                  <c:v>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1F-40E9-8F6E-CD33AC713702}"/>
            </c:ext>
          </c:extLst>
        </c:ser>
        <c:ser>
          <c:idx val="5"/>
          <c:order val="5"/>
          <c:tx>
            <c:strRef>
              <c:f>'表2 支付金额分析'!$A$7</c:f>
              <c:strCache>
                <c:ptCount val="1"/>
                <c:pt idx="0">
                  <c:v>1000元以上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'表2 支付金额分析'!$H$1</c:f>
              <c:strCache>
                <c:ptCount val="1"/>
                <c:pt idx="0">
                  <c:v>金额占比百分比</c:v>
                </c:pt>
              </c:strCache>
            </c:strRef>
          </c:cat>
          <c:val>
            <c:numRef>
              <c:f>'表2 支付金额分析'!$H$7</c:f>
              <c:numCache>
                <c:formatCode>General</c:formatCode>
                <c:ptCount val="1"/>
                <c:pt idx="0">
                  <c:v>11.34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1F-40E9-8F6E-CD33AC713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978815"/>
        <c:axId val="1994992735"/>
      </c:barChart>
      <c:catAx>
        <c:axId val="19949788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92735"/>
        <c:crosses val="autoZero"/>
        <c:auto val="1"/>
        <c:lblAlgn val="ctr"/>
        <c:lblOffset val="100"/>
        <c:noMultiLvlLbl val="0"/>
      </c:catAx>
      <c:valAx>
        <c:axId val="199499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7881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'表3 RFM分析'!$B$1</c:f>
              <c:strCache>
                <c:ptCount val="1"/>
                <c:pt idx="0">
                  <c:v>用户数量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38-41B3-92D7-90B71F35FD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38-41B3-92D7-90B71F35FD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38-41B3-92D7-90B71F35FDB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038-41B3-92D7-90B71F35FDB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038-41B3-92D7-90B71F35FD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'表3 RFM分析'!$A$2:$A$6</c:f>
              <c:strCache>
                <c:ptCount val="5"/>
                <c:pt idx="0">
                  <c:v>高价值活跃用户</c:v>
                </c:pt>
                <c:pt idx="1">
                  <c:v>高价值新用户</c:v>
                </c:pt>
                <c:pt idx="2">
                  <c:v>频繁购买用户</c:v>
                </c:pt>
                <c:pt idx="3">
                  <c:v>一般用户</c:v>
                </c:pt>
                <c:pt idx="4">
                  <c:v>流失风险用户</c:v>
                </c:pt>
              </c:strCache>
            </c:strRef>
          </c:cat>
          <c:val>
            <c:numRef>
              <c:f>'表3 RFM分析'!$B$2:$B$6</c:f>
              <c:numCache>
                <c:formatCode>General</c:formatCode>
                <c:ptCount val="5"/>
                <c:pt idx="0">
                  <c:v>3177</c:v>
                </c:pt>
                <c:pt idx="1">
                  <c:v>12740</c:v>
                </c:pt>
                <c:pt idx="2">
                  <c:v>35413</c:v>
                </c:pt>
                <c:pt idx="3">
                  <c:v>41993</c:v>
                </c:pt>
                <c:pt idx="4">
                  <c:v>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6-43C8-A451-EC2282FD2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doughnutChart>
        <c:varyColors val="1"/>
        <c:ser>
          <c:idx val="1"/>
          <c:order val="1"/>
          <c:tx>
            <c:strRef>
              <c:f>'表3 RFM分析'!$H$1</c:f>
              <c:strCache>
                <c:ptCount val="1"/>
                <c:pt idx="0">
                  <c:v>消费占比百分比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06-43C8-A451-EC2282FD2E3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06-43C8-A451-EC2282FD2E37}"/>
              </c:ext>
            </c:extLst>
          </c:dPt>
          <c:dPt>
            <c:idx val="2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906-43C8-A451-EC2282FD2E37}"/>
              </c:ext>
            </c:extLst>
          </c:dPt>
          <c:dPt>
            <c:idx val="3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06-43C8-A451-EC2282FD2E37}"/>
              </c:ext>
            </c:extLst>
          </c:dPt>
          <c:dPt>
            <c:idx val="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906-43C8-A451-EC2282FD2E37}"/>
              </c:ext>
            </c:extLst>
          </c:dPt>
          <c:cat>
            <c:strRef>
              <c:f>'表3 RFM分析'!$A$2:$A$6</c:f>
              <c:strCache>
                <c:ptCount val="5"/>
                <c:pt idx="0">
                  <c:v>高价值活跃用户</c:v>
                </c:pt>
                <c:pt idx="1">
                  <c:v>高价值新用户</c:v>
                </c:pt>
                <c:pt idx="2">
                  <c:v>频繁购买用户</c:v>
                </c:pt>
                <c:pt idx="3">
                  <c:v>一般用户</c:v>
                </c:pt>
                <c:pt idx="4">
                  <c:v>流失风险用户</c:v>
                </c:pt>
              </c:strCache>
            </c:strRef>
          </c:cat>
          <c:val>
            <c:numRef>
              <c:f>'表3 RFM分析'!$H$2:$H$6</c:f>
              <c:numCache>
                <c:formatCode>General</c:formatCode>
                <c:ptCount val="5"/>
                <c:pt idx="0">
                  <c:v>5.93</c:v>
                </c:pt>
                <c:pt idx="1">
                  <c:v>24.54</c:v>
                </c:pt>
                <c:pt idx="2">
                  <c:v>33.74</c:v>
                </c:pt>
                <c:pt idx="3">
                  <c:v>34.67</c:v>
                </c:pt>
                <c:pt idx="4">
                  <c:v>1.1299999999999999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6-43C8-A451-EC2282FD2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'表3 RFM分析'!$A$2</c:f>
              <c:strCache>
                <c:ptCount val="1"/>
                <c:pt idx="0">
                  <c:v>高价值活跃用户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'表3 RFM分析'!$I$1</c:f>
              <c:strCache>
                <c:ptCount val="1"/>
                <c:pt idx="0">
                  <c:v>人均消费</c:v>
                </c:pt>
              </c:strCache>
            </c:strRef>
          </c:cat>
          <c:val>
            <c:numRef>
              <c:f>'表3 RFM分析'!$I$2</c:f>
              <c:numCache>
                <c:formatCode>General</c:formatCode>
                <c:ptCount val="1"/>
                <c:pt idx="0">
                  <c:v>287.65400062952477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1-4F74-AD08-CBD2338AFA0A}"/>
            </c:ext>
          </c:extLst>
        </c:ser>
        <c:ser>
          <c:idx val="1"/>
          <c:order val="1"/>
          <c:tx>
            <c:strRef>
              <c:f>'表3 RFM分析'!$A$3</c:f>
              <c:strCache>
                <c:ptCount val="1"/>
                <c:pt idx="0">
                  <c:v>高价值新用户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'表3 RFM分析'!$I$1</c:f>
              <c:strCache>
                <c:ptCount val="1"/>
                <c:pt idx="0">
                  <c:v>人均消费</c:v>
                </c:pt>
              </c:strCache>
            </c:strRef>
          </c:cat>
          <c:val>
            <c:numRef>
              <c:f>'表3 RFM分析'!$I$3</c:f>
              <c:numCache>
                <c:formatCode>General</c:formatCode>
                <c:ptCount val="1"/>
                <c:pt idx="0">
                  <c:v>297.02417189952797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1-4F74-AD08-CBD2338AFA0A}"/>
            </c:ext>
          </c:extLst>
        </c:ser>
        <c:ser>
          <c:idx val="2"/>
          <c:order val="2"/>
          <c:tx>
            <c:strRef>
              <c:f>'表3 RFM分析'!$A$4</c:f>
              <c:strCache>
                <c:ptCount val="1"/>
                <c:pt idx="0">
                  <c:v>频繁购买用户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'表3 RFM分析'!$I$1</c:f>
              <c:strCache>
                <c:ptCount val="1"/>
                <c:pt idx="0">
                  <c:v>人均消费</c:v>
                </c:pt>
              </c:strCache>
            </c:strRef>
          </c:cat>
          <c:val>
            <c:numRef>
              <c:f>'表3 RFM分析'!$I$4</c:f>
              <c:numCache>
                <c:formatCode>General</c:formatCode>
                <c:ptCount val="1"/>
                <c:pt idx="0">
                  <c:v>146.95677547793184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1-4F74-AD08-CBD2338AFA0A}"/>
            </c:ext>
          </c:extLst>
        </c:ser>
        <c:ser>
          <c:idx val="3"/>
          <c:order val="3"/>
          <c:tx>
            <c:strRef>
              <c:f>'表3 RFM分析'!$A$5</c:f>
              <c:strCache>
                <c:ptCount val="1"/>
                <c:pt idx="0">
                  <c:v>一般用户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'表3 RFM分析'!$I$1</c:f>
              <c:strCache>
                <c:ptCount val="1"/>
                <c:pt idx="0">
                  <c:v>人均消费</c:v>
                </c:pt>
              </c:strCache>
            </c:strRef>
          </c:cat>
          <c:val>
            <c:numRef>
              <c:f>'表3 RFM分析'!$I$5</c:f>
              <c:numCache>
                <c:formatCode>General</c:formatCode>
                <c:ptCount val="1"/>
                <c:pt idx="0">
                  <c:v>127.31772081061027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1-4F74-AD08-CBD2338AFA0A}"/>
            </c:ext>
          </c:extLst>
        </c:ser>
        <c:ser>
          <c:idx val="4"/>
          <c:order val="4"/>
          <c:tx>
            <c:strRef>
              <c:f>'表3 RFM分析'!$A$6</c:f>
              <c:strCache>
                <c:ptCount val="1"/>
                <c:pt idx="0">
                  <c:v>流失风险用户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'表3 RFM分析'!$I$1</c:f>
              <c:strCache>
                <c:ptCount val="1"/>
                <c:pt idx="0">
                  <c:v>人均消费</c:v>
                </c:pt>
              </c:strCache>
            </c:strRef>
          </c:cat>
          <c:val>
            <c:numRef>
              <c:f>'表3 RFM分析'!$I$6</c:f>
              <c:numCache>
                <c:formatCode>General</c:formatCode>
                <c:ptCount val="1"/>
                <c:pt idx="0">
                  <c:v>55.124831959416852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1-4F74-AD08-CBD2338A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995615"/>
        <c:axId val="1994971135"/>
      </c:barChart>
      <c:catAx>
        <c:axId val="199499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71135"/>
        <c:crosses val="autoZero"/>
        <c:auto val="1"/>
        <c:lblAlgn val="ctr"/>
        <c:lblOffset val="100"/>
        <c:noMultiLvlLbl val="0"/>
      </c:catAx>
      <c:valAx>
        <c:axId val="199497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99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27</xdr:row>
      <xdr:rowOff>0</xdr:rowOff>
    </xdr:from>
    <xdr:to>
      <xdr:col>13</xdr:col>
      <xdr:colOff>175260</xdr:colOff>
      <xdr:row>42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BB50C89-4345-EA0E-0F0C-33977A60D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838200</xdr:colOff>
      <xdr:row>42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96D252B-2DCA-421E-311C-20AA0E668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5</xdr:col>
      <xdr:colOff>289560</xdr:colOff>
      <xdr:row>35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779CA6-B2C7-DB99-9769-437CCB73C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10</xdr:col>
      <xdr:colOff>701040</xdr:colOff>
      <xdr:row>35</xdr:row>
      <xdr:rowOff>15240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FF0106B-1032-F020-F71F-0E31D94C3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190500</xdr:rowOff>
    </xdr:from>
    <xdr:to>
      <xdr:col>4</xdr:col>
      <xdr:colOff>601980</xdr:colOff>
      <xdr:row>21</xdr:row>
      <xdr:rowOff>160020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EF6D4D3-DC5D-7E79-41DF-3F5BDEBE5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114300</xdr:colOff>
      <xdr:row>21</xdr:row>
      <xdr:rowOff>167640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F43994F-176D-7635-3711-DF840DAF2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30.69446377315" createdVersion="8" refreshedVersion="8" minRefreshableVersion="3" recordCount="20" xr:uid="{BA8C42F2-503C-4CB9-9507-A9BF7F6599D6}">
  <cacheSource type="worksheet">
    <worksheetSource ref="A1:O21" sheet="品类综合分析（包含季节性分析）"/>
  </cacheSource>
  <cacheFields count="15">
    <cacheField name="品类名称" numFmtId="0">
      <sharedItems count="20">
        <s v="beleza_saude"/>
        <s v="moveis_decoracao"/>
        <s v="perfumaria"/>
        <s v="brinquedos"/>
        <s v="consoles_games"/>
        <s v="relogios_presentes"/>
        <s v="esporte_lazer"/>
        <s v="bebes"/>
        <s v="ferramentas_jardim"/>
        <s v="climatizacao"/>
        <s v="fashion_bolsas_e_acessorios"/>
        <s v="cool_stuff"/>
        <s v="automotivo"/>
        <s v="cama_mesa_banho"/>
        <s v="informatica_acessorios"/>
        <s v="utilidades_domesticas"/>
        <s v="eletroportateis"/>
        <s v="pcs"/>
        <s v="papelaria"/>
        <s v="telefonia"/>
      </sharedItems>
    </cacheField>
    <cacheField name="总上榜次数" numFmtId="0">
      <sharedItems containsSemiMixedTypes="0" containsString="0" containsNumber="1" containsInteger="1" minValue="1" maxValue="22"/>
    </cacheField>
    <cacheField name="首次上榜时间" numFmtId="177">
      <sharedItems containsSemiMixedTypes="0" containsNonDate="0" containsDate="1" containsString="0" minDate="2016-09-01T00:00:00" maxDate="2018-07-02T00:00:00"/>
    </cacheField>
    <cacheField name="最近上榜时间" numFmtId="177">
      <sharedItems containsSemiMixedTypes="0" containsNonDate="0" containsDate="1" containsString="0" minDate="2016-10-01T00:00:00" maxDate="2018-08-02T00:00:00"/>
    </cacheField>
    <cacheField name="时间跨度" numFmtId="0">
      <sharedItems containsSemiMixedTypes="0" containsString="0" containsNumber="1" containsInteger="1" minValue="0" maxValue="23"/>
    </cacheField>
    <cacheField name="最好排名" numFmtId="0">
      <sharedItems containsSemiMixedTypes="0" containsString="0" containsNumber="1" containsInteger="1" minValue="1" maxValue="10"/>
    </cacheField>
    <cacheField name="最差排名" numFmtId="0">
      <sharedItems containsSemiMixedTypes="0" containsString="0" containsNumber="1" containsInteger="1" minValue="1" maxValue="10"/>
    </cacheField>
    <cacheField name="排名波动" numFmtId="0">
      <sharedItems containsSemiMixedTypes="0" containsString="0" containsNumber="1" containsInteger="1" minValue="0" maxValue="9"/>
    </cacheField>
    <cacheField name="总销售额" numFmtId="178">
      <sharedItems containsSemiMixedTypes="0" containsString="0" containsNumber="1" minValue="10.9" maxValue="1233131.7200000007"/>
    </cacheField>
    <cacheField name="品类价值评分" numFmtId="10">
      <sharedItems containsSemiMixedTypes="0" containsString="0" containsNumber="1" minValue="4.4074042751454434E-2" maxValue="1"/>
    </cacheField>
    <cacheField name="季节性指数" numFmtId="0">
      <sharedItems/>
    </cacheField>
    <cacheField name="上榜月份密度" numFmtId="10">
      <sharedItems containsSemiMixedTypes="0" containsString="0" containsNumber="1" minValue="4.1666666666666664E-2" maxValue="0.91666666666666663"/>
    </cacheField>
    <cacheField name="活跃期分类" numFmtId="0">
      <sharedItems count="3">
        <s v="长期稳定型"/>
        <s v="间歇活跃型"/>
        <s v="短暂活跃型"/>
      </sharedItems>
    </cacheField>
    <cacheField name="月份分布集中度" numFmtId="10">
      <sharedItems containsSemiMixedTypes="0" containsString="0" containsNumber="1" minValue="0" maxValue="0.96592582628906831" count="13">
        <n v="8.7811438753551699E-2"/>
        <n v="0.11400810337958706"/>
        <n v="0.25037917244526819"/>
        <n v="0.42323349080209549"/>
        <n v="0"/>
        <n v="0.20203050891044219"/>
        <n v="7.3948298600720205E-2"/>
        <n v="0.20912907593445196"/>
        <n v="0.30244077873901659"/>
        <n v="0.19642372671415143"/>
        <n v="0.43233545810177354"/>
        <n v="0.9106836025229591"/>
        <n v="0.96592582628906831"/>
      </sharedItems>
      <fieldGroup base="13">
        <rangePr autoStart="0" autoEnd="0" startNum="0" endNum="1" groupInterval="0.25"/>
        <groupItems count="6">
          <s v="&lt;0"/>
          <s v="0-0.25"/>
          <s v="0.25-0.5"/>
          <s v="0.5-0.75"/>
          <s v="0.75-1"/>
          <s v="&gt;1"/>
        </groupItems>
      </fieldGroup>
    </cacheField>
    <cacheField name="趋势方向" numFmtId="0">
      <sharedItems count="4">
        <s v="平稳趋势"/>
        <s v="下降趋势"/>
        <s v="上升趋势"/>
        <s v="数据不足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2"/>
    <d v="2016-09-01T00:00:00"/>
    <d v="2018-08-01T00:00:00"/>
    <n v="23"/>
    <n v="1"/>
    <n v="6"/>
    <n v="5"/>
    <n v="1233131.7200000007"/>
    <n v="1"/>
    <s v="春季"/>
    <n v="0.91666666666666663"/>
    <x v="0"/>
    <x v="0"/>
    <x v="0"/>
  </r>
  <r>
    <x v="1"/>
    <n v="21"/>
    <d v="2016-10-01T00:00:00"/>
    <d v="2018-08-01T00:00:00"/>
    <n v="22"/>
    <n v="1"/>
    <n v="10"/>
    <n v="9"/>
    <n v="711927.69000000239"/>
    <n v="0.8172968541061828"/>
    <s v="春季"/>
    <n v="0.875"/>
    <x v="0"/>
    <x v="1"/>
    <x v="1"/>
  </r>
  <r>
    <x v="2"/>
    <n v="7"/>
    <d v="2016-10-01T00:00:00"/>
    <d v="2018-08-01T00:00:00"/>
    <n v="22"/>
    <n v="2"/>
    <n v="10"/>
    <n v="8"/>
    <n v="124744.3400000001"/>
    <n v="0.40591878393833047"/>
    <s v="夏季"/>
    <n v="0.29166666666666669"/>
    <x v="1"/>
    <x v="2"/>
    <x v="1"/>
  </r>
  <r>
    <x v="3"/>
    <n v="8"/>
    <d v="2016-10-01T00:00:00"/>
    <d v="2017-12-01T00:00:00"/>
    <n v="14"/>
    <n v="3"/>
    <n v="10"/>
    <n v="7"/>
    <n v="235417.85000000056"/>
    <n v="0.42545512750546755"/>
    <s v="冬季"/>
    <n v="0.33333333333333331"/>
    <x v="1"/>
    <x v="3"/>
    <x v="2"/>
  </r>
  <r>
    <x v="4"/>
    <n v="1"/>
    <d v="2016-10-01T00:00:00"/>
    <d v="2016-10-01T00:00:00"/>
    <n v="0"/>
    <n v="4"/>
    <n v="4"/>
    <n v="0"/>
    <n v="3619.3599999999997"/>
    <n v="0.2248104020432258"/>
    <s v="冬季"/>
    <n v="4.1666666666666664E-2"/>
    <x v="2"/>
    <x v="4"/>
    <x v="3"/>
  </r>
  <r>
    <x v="5"/>
    <n v="21"/>
    <d v="2016-10-01T00:00:00"/>
    <d v="2018-08-01T00:00:00"/>
    <n v="22"/>
    <n v="1"/>
    <n v="10"/>
    <n v="9"/>
    <n v="1166176.9799999993"/>
    <n v="0.96464503520722422"/>
    <s v="春季"/>
    <n v="0.875"/>
    <x v="0"/>
    <x v="1"/>
    <x v="2"/>
  </r>
  <r>
    <x v="6"/>
    <n v="21"/>
    <d v="2016-10-01T00:00:00"/>
    <d v="2018-08-01T00:00:00"/>
    <n v="22"/>
    <n v="1"/>
    <n v="7"/>
    <n v="6"/>
    <n v="954852.55000000214"/>
    <n v="0.89609617653379814"/>
    <s v="春季"/>
    <n v="0.875"/>
    <x v="0"/>
    <x v="1"/>
    <x v="0"/>
  </r>
  <r>
    <x v="7"/>
    <n v="7"/>
    <d v="2016-10-01T00:00:00"/>
    <d v="2018-06-01T00:00:00"/>
    <n v="20"/>
    <n v="7"/>
    <n v="10"/>
    <n v="3"/>
    <n v="182645.44000000038"/>
    <n v="0.27470058934027092"/>
    <s v="夏季"/>
    <n v="0.29166666666666669"/>
    <x v="1"/>
    <x v="5"/>
    <x v="1"/>
  </r>
  <r>
    <x v="8"/>
    <n v="14"/>
    <d v="2016-10-01T00:00:00"/>
    <d v="2018-07-01T00:00:00"/>
    <n v="21"/>
    <n v="5"/>
    <n v="10"/>
    <n v="5"/>
    <n v="310663.36000000051"/>
    <n v="0.47168124848525006"/>
    <s v="春季"/>
    <n v="0.58333333333333337"/>
    <x v="0"/>
    <x v="6"/>
    <x v="1"/>
  </r>
  <r>
    <x v="9"/>
    <n v="1"/>
    <d v="2016-10-01T00:00:00"/>
    <d v="2016-10-01T00:00:00"/>
    <n v="0"/>
    <n v="10"/>
    <n v="10"/>
    <n v="0"/>
    <n v="1349.2900000000002"/>
    <n v="4.4074042751454434E-2"/>
    <s v="冬季"/>
    <n v="4.1666666666666664E-2"/>
    <x v="2"/>
    <x v="4"/>
    <x v="3"/>
  </r>
  <r>
    <x v="10"/>
    <n v="1"/>
    <d v="2016-12-01T00:00:00"/>
    <d v="2016-12-01T00:00:00"/>
    <n v="0"/>
    <n v="1"/>
    <n v="1"/>
    <n v="0"/>
    <n v="10.9"/>
    <n v="0.31363989934948272"/>
    <s v="冬季"/>
    <n v="4.1666666666666664E-2"/>
    <x v="2"/>
    <x v="4"/>
    <x v="3"/>
  </r>
  <r>
    <x v="11"/>
    <n v="16"/>
    <d v="2017-01-01T00:00:00"/>
    <d v="2018-04-01T00:00:00"/>
    <n v="15"/>
    <n v="1"/>
    <n v="10"/>
    <n v="9"/>
    <n v="522945.6100000008"/>
    <n v="0.68781352954514297"/>
    <s v="春季"/>
    <n v="0.66666666666666663"/>
    <x v="0"/>
    <x v="7"/>
    <x v="1"/>
  </r>
  <r>
    <x v="12"/>
    <n v="14"/>
    <d v="2017-01-01T00:00:00"/>
    <d v="2018-08-01T00:00:00"/>
    <n v="19"/>
    <n v="5"/>
    <n v="10"/>
    <n v="5"/>
    <n v="476832.20000000094"/>
    <n v="0.52558265651974623"/>
    <s v="春季"/>
    <n v="0.58333333333333337"/>
    <x v="0"/>
    <x v="8"/>
    <x v="2"/>
  </r>
  <r>
    <x v="13"/>
    <n v="19"/>
    <d v="2017-02-01T00:00:00"/>
    <d v="2018-08-01T00:00:00"/>
    <n v="18"/>
    <n v="1"/>
    <n v="5"/>
    <n v="4"/>
    <n v="1019151.4100000025"/>
    <n v="0.8896805431001622"/>
    <s v="夏季"/>
    <n v="0.79166666666666663"/>
    <x v="0"/>
    <x v="9"/>
    <x v="0"/>
  </r>
  <r>
    <x v="14"/>
    <n v="19"/>
    <d v="2017-02-01T00:00:00"/>
    <d v="2018-08-01T00:00:00"/>
    <n v="18"/>
    <n v="1"/>
    <n v="9"/>
    <n v="8"/>
    <n v="884131.45000000088"/>
    <n v="0.845883126227291"/>
    <s v="夏季"/>
    <n v="0.79166666666666663"/>
    <x v="0"/>
    <x v="9"/>
    <x v="1"/>
  </r>
  <r>
    <x v="15"/>
    <n v="13"/>
    <d v="2017-02-01T00:00:00"/>
    <d v="2018-08-01T00:00:00"/>
    <n v="18"/>
    <n v="3"/>
    <n v="10"/>
    <n v="7"/>
    <n v="491151.2800000009"/>
    <n v="0.57659107811362542"/>
    <s v="夏季"/>
    <n v="0.54166666666666663"/>
    <x v="0"/>
    <x v="10"/>
    <x v="2"/>
  </r>
  <r>
    <x v="16"/>
    <n v="1"/>
    <d v="2017-04-01T00:00:00"/>
    <d v="2017-04-01T00:00:00"/>
    <n v="0"/>
    <n v="3"/>
    <n v="3"/>
    <n v="0"/>
    <n v="23114.98"/>
    <n v="0.26113433960279159"/>
    <s v="夏季"/>
    <n v="4.1666666666666664E-2"/>
    <x v="2"/>
    <x v="4"/>
    <x v="3"/>
  </r>
  <r>
    <x v="17"/>
    <n v="3"/>
    <d v="2017-08-01T00:00:00"/>
    <d v="2017-10-01T00:00:00"/>
    <n v="2"/>
    <n v="2"/>
    <n v="8"/>
    <n v="6"/>
    <n v="124022.81"/>
    <n v="0.35113928140325806"/>
    <s v="秋季"/>
    <n v="0.125"/>
    <x v="2"/>
    <x v="11"/>
    <x v="2"/>
  </r>
  <r>
    <x v="18"/>
    <n v="1"/>
    <d v="2018-01-01T00:00:00"/>
    <d v="2018-01-01T00:00:00"/>
    <n v="0"/>
    <n v="7"/>
    <n v="7"/>
    <n v="0"/>
    <n v="39522.720000000059"/>
    <n v="0.14645663882967389"/>
    <s v="春季"/>
    <n v="4.1666666666666664E-2"/>
    <x v="2"/>
    <x v="4"/>
    <x v="3"/>
  </r>
  <r>
    <x v="19"/>
    <n v="2"/>
    <d v="2018-07-01T00:00:00"/>
    <d v="2018-08-01T00:00:00"/>
    <n v="1"/>
    <n v="9"/>
    <n v="9"/>
    <n v="0"/>
    <n v="63065.590000000142"/>
    <n v="0.10772977625691854"/>
    <s v="秋季"/>
    <n v="8.3333333333333329E-2"/>
    <x v="2"/>
    <x v="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51A47-229C-4FD9-BBDF-BD14B8DC2339}" name="品类综合表现看板" cacheId="9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chartFormat="4">
  <location ref="A3:E23" firstHeaderRow="0" firstDataRow="1" firstDataCol="1" rowPageCount="1" colPageCount="1"/>
  <pivotFields count="15">
    <pivotField axis="axisRow" showAll="0" sortType="descending" defaultSubtotal="0">
      <items count="20">
        <item x="12"/>
        <item x="7"/>
        <item x="0"/>
        <item x="3"/>
        <item x="13"/>
        <item x="9"/>
        <item x="4"/>
        <item x="11"/>
        <item x="16"/>
        <item x="6"/>
        <item x="10"/>
        <item x="8"/>
        <item x="14"/>
        <item x="1"/>
        <item x="18"/>
        <item x="17"/>
        <item x="2"/>
        <item x="5"/>
        <item x="19"/>
        <item x="15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 defaultSubtotal="0"/>
    <pivotField numFmtId="177" showAll="0" defaultSubtotal="0"/>
    <pivotField numFmtId="177" showAll="0" defaultSubtotal="0"/>
    <pivotField showAll="0" defaultSubtotal="0"/>
    <pivotField showAll="0" defaultSubtotal="0"/>
    <pivotField showAll="0" defaultSubtotal="0"/>
    <pivotField showAll="0" defaultSubtotal="0"/>
    <pivotField dataField="1" numFmtId="178" showAll="0" defaultSubtotal="0"/>
    <pivotField dataField="1" numFmtId="10" showAll="0" defaultSubtotal="0"/>
    <pivotField showAll="0" defaultSubtotal="0"/>
    <pivotField numFmtId="10" showAll="0" defaultSubtotal="0"/>
    <pivotField axis="axisPage" showAll="0" defaultSubtotal="0">
      <items count="3">
        <item x="2"/>
        <item x="1"/>
        <item x="0"/>
      </items>
    </pivotField>
    <pivotField dataField="1" numFmtId="10" showAll="0" defaultSubtotal="0">
      <items count="6">
        <item x="0"/>
        <item x="1"/>
        <item x="2"/>
        <item x="3"/>
        <item x="4"/>
        <item x="5"/>
      </items>
    </pivotField>
    <pivotField showAll="0" defaultSubtotal="0"/>
  </pivotFields>
  <rowFields count="1">
    <field x="0"/>
  </rowFields>
  <rowItems count="20">
    <i>
      <x v="2"/>
    </i>
    <i>
      <x v="17"/>
    </i>
    <i>
      <x v="9"/>
    </i>
    <i>
      <x v="4"/>
    </i>
    <i>
      <x v="12"/>
    </i>
    <i>
      <x v="13"/>
    </i>
    <i>
      <x v="7"/>
    </i>
    <i>
      <x v="19"/>
    </i>
    <i>
      <x/>
    </i>
    <i>
      <x v="11"/>
    </i>
    <i>
      <x v="3"/>
    </i>
    <i>
      <x v="16"/>
    </i>
    <i>
      <x v="15"/>
    </i>
    <i>
      <x v="10"/>
    </i>
    <i>
      <x v="1"/>
    </i>
    <i>
      <x v="8"/>
    </i>
    <i>
      <x v="6"/>
    </i>
    <i>
      <x v="14"/>
    </i>
    <i>
      <x v="18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2" hier="-1"/>
  </pageFields>
  <dataFields count="4">
    <dataField name="总记销售额" fld="8" baseField="0" baseItem="0" numFmtId="178"/>
    <dataField name="总记上榜次数" fld="1" baseField="0" baseItem="0"/>
    <dataField name="平均价值评分" fld="9" subtotal="average" baseField="0" baseItem="2" numFmtId="10"/>
    <dataField name="平均集中度" fld="13" subtotal="average" baseField="0" baseItem="0" numFmtId="10"/>
  </dataFields>
  <formats count="1">
    <format dxfId="15">
      <pivotArea dataOnly="0" outline="0" fieldPosition="0">
        <references count="1">
          <reference field="4294967294" count="1">
            <x v="2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3E815-4ABF-4CDF-B739-3C0527B84C6E}" name="数据透视表2" cacheId="9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月份分布集中度" colHeaderCaption="趋势方向">
  <location ref="A3:M8" firstHeaderRow="1" firstDataRow="3" firstDataCol="1"/>
  <pivotFields count="15">
    <pivotField dataField="1" showAll="0" defaultSubtotal="0"/>
    <pivotField showAll="0" defaultSubtotal="0"/>
    <pivotField numFmtId="177" showAll="0" defaultSubtotal="0"/>
    <pivotField numFmtId="177" showAll="0" defaultSubtotal="0"/>
    <pivotField showAll="0" defaultSubtotal="0"/>
    <pivotField showAll="0" defaultSubtotal="0"/>
    <pivotField showAll="0" defaultSubtotal="0"/>
    <pivotField showAll="0" defaultSubtotal="0"/>
    <pivotField dataField="1" numFmtId="178" showAll="0" defaultSubtotal="0"/>
    <pivotField dataField="1" numFmtId="10" showAll="0" defaultSubtotal="0"/>
    <pivotField showAll="0" defaultSubtotal="0"/>
    <pivotField numFmtId="10" showAll="0" defaultSubtotal="0"/>
    <pivotField showAll="0" defaultSubtotal="0"/>
    <pivotField axis="axisRow" numFmtId="10" showAll="0" defaultSubtotal="0">
      <items count="6">
        <item x="0"/>
        <item n="低集中度" x="1"/>
        <item n="中集中度" x="2"/>
        <item x="3"/>
        <item n="高集中度" x="4"/>
        <item x="5"/>
      </items>
    </pivotField>
    <pivotField axis="axisCol" showAll="0" sortType="descending" defaultSubtotal="0">
      <items count="4">
        <item x="1"/>
        <item x="3"/>
        <item x="2"/>
        <item x="0"/>
      </items>
    </pivotField>
  </pivotFields>
  <rowFields count="1">
    <field x="13"/>
  </rowFields>
  <rowItems count="3">
    <i>
      <x v="1"/>
    </i>
    <i>
      <x v="2"/>
    </i>
    <i>
      <x v="4"/>
    </i>
  </rowItems>
  <colFields count="2">
    <field x="14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品类数量" fld="0" subtotal="count" baseField="13" baseItem="0"/>
    <dataField name="平均销售额" fld="8" subtotal="average" baseField="13" baseItem="0" numFmtId="178"/>
    <dataField name="平均价值评分" fld="9" subtotal="average" baseField="13" baseItem="1" numFmtId="10"/>
  </dataFields>
  <formats count="13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3" type="button" dataOnly="0" labelOnly="1" outline="0" axis="axisRow" fieldPosition="0"/>
    </format>
    <format dxfId="7">
      <pivotArea dataOnly="0" labelOnly="1" fieldPosition="0">
        <references count="1">
          <reference field="13" count="3">
            <x v="1"/>
            <x v="2"/>
            <x v="4"/>
          </reference>
        </references>
      </pivotArea>
    </format>
    <format dxfId="6">
      <pivotArea dataOnly="0" labelOnly="1" fieldPosition="0">
        <references count="1">
          <reference field="14" count="0"/>
        </references>
      </pivotArea>
    </format>
    <format dxfId="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863347-DD57-4A80-9F28-5C1718774D25}" name="表7" displayName="表7" ref="A1:K24" totalsRowShown="0" headerRowDxfId="59" dataDxfId="58">
  <autoFilter ref="A1:K24" xr:uid="{00000000-0001-0000-0000-000000000000}"/>
  <sortState xmlns:xlrd2="http://schemas.microsoft.com/office/spreadsheetml/2017/richdata2" ref="A2:K24">
    <sortCondition ref="A1:A24"/>
  </sortState>
  <tableColumns count="11">
    <tableColumn id="1" xr3:uid="{47B30535-8F98-478A-A06E-9314D1CB5FCF}" name="年月" dataDxfId="57"/>
    <tableColumn id="2" xr3:uid="{19193801-173C-4BDE-821C-313D25ECFB7F}" name="订单数量" dataDxfId="56"/>
    <tableColumn id="3" xr3:uid="{92BD034A-44AB-4086-B85C-16B7DCC9ACF3}" name="客户数量" dataDxfId="55"/>
    <tableColumn id="4" xr3:uid="{825A58FD-6D7B-4D18-94A0-C5D48BCEC8C1}" name="支付总金额" dataDxfId="54"/>
    <tableColumn id="5" xr3:uid="{F33D7BED-A208-4BFA-A452-48667F07EE5D}" name="平均订单金额" dataDxfId="53"/>
    <tableColumn id="6" xr3:uid="{E71133B9-A5D3-45D0-BDFF-5FB3E83C6123}" name="上月支付金额" dataDxfId="52"/>
    <tableColumn id="7" xr3:uid="{00360FD9-2E5D-4458-8FCE-1E4DD0AD5C9D}" name="月环比增长率(%)" dataDxfId="51"/>
    <tableColumn id="8" xr3:uid="{22D5627C-2B7A-4C1B-939E-483DD7C0A3CE}" name="年" dataDxfId="50">
      <calculatedColumnFormula>LEFT(A2,4)</calculatedColumnFormula>
    </tableColumn>
    <tableColumn id="9" xr3:uid="{5200F65E-6108-4B65-B61E-03751BA38D8F}" name="季度" dataDxfId="49">
      <calculatedColumnFormula xml:space="preserve"> "Q" &amp; INT((MID(A2,6,2)+2)/3)</calculatedColumnFormula>
    </tableColumn>
    <tableColumn id="10" xr3:uid="{C13E3F4E-14A7-40F8-A8A6-2218FD1F023D}" name="增长状态" dataDxfId="48">
      <calculatedColumnFormula xml:space="preserve"> IF(G2="", "-",
       IF(G2&gt;100%, "异常高增长",
       IF(G2&gt;20%, "高速增长",
       IF(G2&gt;5%, "平稳增长",
       IF(G2&gt;0%, "温和增长",
       IF(G2&gt;-5%, "微增长",
       IF(G2&gt;-10%, "小幅下滑",
       IF(G2&gt;-20%, "明显下滑", "大幅下滑"))))))))</calculatedColumnFormula>
    </tableColumn>
    <tableColumn id="11" xr3:uid="{B813A196-8BCA-4128-82AA-47E42D9F5A90}" name="累计支付金额" dataDxfId="47">
      <calculatedColumnFormula xml:space="preserve"> SUM($D$2:D2)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4AF094-EDE0-4241-B63E-B2152CBBDA47}" name="表2" displayName="表2" ref="A1:L7" totalsRowShown="0" headerRowDxfId="46" dataDxfId="45">
  <autoFilter ref="A1:L7" xr:uid="{F94AF094-EDE0-4241-B63E-B2152CBBDA47}"/>
  <tableColumns count="12">
    <tableColumn id="1" xr3:uid="{01E21055-4717-4C14-B0D6-71C2562CDAC6}" name="金额档位" dataDxfId="44"/>
    <tableColumn id="2" xr3:uid="{59A1EB3C-0151-49B4-B2C2-F7DD50A5BF23}" name="订单数量" dataDxfId="43"/>
    <tableColumn id="3" xr3:uid="{B7BB63CA-1422-4E0D-A202-C28CB28541E1}" name="档位总金额" dataDxfId="42"/>
    <tableColumn id="4" xr3:uid="{436A8F16-C3C0-476D-BDAE-B87461F59304}" name="平均订单金额" dataDxfId="41"/>
    <tableColumn id="5" xr3:uid="{8600CF87-28E0-4C0C-98EA-1ED8794EF2C2}" name="平均支付次数" dataDxfId="40"/>
    <tableColumn id="6" xr3:uid="{E459DA67-DEFE-4742-B9E6-A7AD9ACDEA96}" name="平均最大分期数" dataDxfId="39"/>
    <tableColumn id="7" xr3:uid="{F7E69540-A878-4ADF-A0FC-E496018B8E9D}" name="订单占比百分比" dataDxfId="38"/>
    <tableColumn id="8" xr3:uid="{1E5BEEE1-F3C5-456E-91FC-38096B88064E}" name="金额占比百分比" dataDxfId="37"/>
    <tableColumn id="9" xr3:uid="{56DBD3A7-4796-42C5-80D4-0A9C86203F0F}" name="累计订单占比" dataDxfId="36">
      <calculatedColumnFormula>SUM($G$2:G2)/SUM($G$2:$G$7)</calculatedColumnFormula>
    </tableColumn>
    <tableColumn id="10" xr3:uid="{77EA59E9-B8F9-4C15-B2FA-47F4829A7132}" name="累计金额占比" dataDxfId="35">
      <calculatedColumnFormula>SUM($H$2:H2)/SUM($H$2:$H$7)</calculatedColumnFormula>
    </tableColumn>
    <tableColumn id="11" xr3:uid="{40A00F28-23C5-4A85-8BB0-F6EB80567FA7}" name="帕累托分类" dataDxfId="34">
      <calculatedColumnFormula>IF(J2&lt;=0.8,"A类",IF(J2&lt;=0.95,"B类","C类"))</calculatedColumnFormula>
    </tableColumn>
    <tableColumn id="12" xr3:uid="{600A6BDE-3CF6-4FAC-A14F-2D7FF0EFF60C}" name="价值密度" dataDxfId="33">
      <calculatedColumnFormula>H2/G2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7048DB-5EC2-4851-A049-F50C032ED2DC}" name="表3" displayName="表3" ref="A12:B16" totalsRowShown="0">
  <autoFilter ref="A12:B16" xr:uid="{907048DB-5EC2-4851-A049-F50C032ED2DC}"/>
  <tableColumns count="2">
    <tableColumn id="1" xr3:uid="{C55E8E33-0D3C-4B67-A609-D7DDD207D87A}" name="列1" dataDxfId="32"/>
    <tableColumn id="2" xr3:uid="{0FD983F3-C97A-48D5-AD2B-A2164B274174}" name="列2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C6FD01-F79D-4AF5-AD48-ADB1EF7E8064}" name="表5" displayName="表5" ref="A1:K6" totalsRowShown="0" headerRowDxfId="30" dataDxfId="29">
  <autoFilter ref="A1:K6" xr:uid="{FBC6FD01-F79D-4AF5-AD48-ADB1EF7E8064}"/>
  <tableColumns count="11">
    <tableColumn id="1" xr3:uid="{BC6389B6-788C-4998-8A07-20499A00DB45}" name="用户分层" dataDxfId="28"/>
    <tableColumn id="2" xr3:uid="{582A148F-B560-4105-B950-40B642B291CD}" name="用户数量" dataDxfId="27"/>
    <tableColumn id="3" xr3:uid="{8D70F1A4-CCAB-488C-A8F4-935342FDAF93}" name="平均最近购买天数" dataDxfId="26"/>
    <tableColumn id="4" xr3:uid="{7E5B663D-AF7C-4B44-BA6A-2A7A3B781F5D}" name="平均购买次数" dataDxfId="25"/>
    <tableColumn id="5" xr3:uid="{FD31AAAE-F735-4087-B63B-8A97DF8376BC}" name="平均消费金额" dataDxfId="24"/>
    <tableColumn id="6" xr3:uid="{29CB935A-987C-4E0F-9D75-9A120AFCD8A8}" name="分层总消费" dataDxfId="23"/>
    <tableColumn id="7" xr3:uid="{C3B84E0A-EB5C-4D49-A961-C3E08CDAD03E}" name="用户占比百分比" dataDxfId="22"/>
    <tableColumn id="8" xr3:uid="{EBC1632C-8321-496C-B816-2F5C8052081D}" name="消费占比百分比" dataDxfId="21"/>
    <tableColumn id="9" xr3:uid="{DE03712F-DD57-49CE-948E-5A84224C4426}" name="人均消费" dataDxfId="20">
      <calculatedColumnFormula>F2/B2</calculatedColumnFormula>
    </tableColumn>
    <tableColumn id="10" xr3:uid="{E4CC5FD2-E7FF-43D2-A9E8-CEFFD8397C24}" name="用户价值得分" dataDxfId="19">
      <calculatedColumnFormula>G2*0.3+H2*0.7</calculatedColumnFormula>
    </tableColumn>
    <tableColumn id="11" xr3:uid="{85576455-5896-4547-BB63-A5A2CE6EBB79}" name="运营优先级" dataDxfId="18">
      <calculatedColumnFormula array="1">_xlfn.SWITCH(A2, "高价值活跃用户","P1", "高价值新用户","P2", "频繁购买用户","P3", "一般用户","P4", "流失风险用户","P5")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9FE9A5-3CC2-427C-86F4-3BC9E2F705B0}" name="表6" displayName="表6" ref="M1:N5" totalsRowShown="0">
  <autoFilter ref="M1:N5" xr:uid="{479FE9A5-3CC2-427C-86F4-3BC9E2F705B0}"/>
  <tableColumns count="2">
    <tableColumn id="1" xr3:uid="{E99A9EEF-A5CA-4DCD-B1EE-7DDD224AF313}" name="R\F" dataDxfId="17"/>
    <tableColumn id="2" xr3:uid="{3F56463A-0530-4B1E-87E2-3D223FF8382D}" name="高活跃" dataDxfId="1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opLeftCell="A6" workbookViewId="0">
      <selection activeCell="G38" sqref="G38"/>
    </sheetView>
  </sheetViews>
  <sheetFormatPr defaultRowHeight="14.4" x14ac:dyDescent="0.3"/>
  <cols>
    <col min="2" max="3" width="10.88671875" customWidth="1"/>
    <col min="4" max="4" width="12.88671875" customWidth="1"/>
    <col min="5" max="6" width="14.88671875" customWidth="1"/>
    <col min="7" max="7" width="18" customWidth="1"/>
    <col min="10" max="10" width="11.6640625" bestFit="1" customWidth="1"/>
    <col min="11" max="11" width="16.88671875" bestFit="1" customWidth="1"/>
  </cols>
  <sheetData>
    <row r="1" spans="1:11" ht="15.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 ht="15.6" x14ac:dyDescent="0.35">
      <c r="A2" s="1" t="s">
        <v>6</v>
      </c>
      <c r="B2" s="1">
        <v>1</v>
      </c>
      <c r="C2" s="1">
        <v>1</v>
      </c>
      <c r="D2" s="1"/>
      <c r="E2" s="1"/>
      <c r="F2" s="1"/>
      <c r="G2" s="1"/>
      <c r="H2" s="3" t="str">
        <f t="shared" ref="H2:H24" si="0">LEFT(A2,4)</f>
        <v>2016</v>
      </c>
      <c r="I2" s="1" t="str">
        <f t="shared" ref="I2:I24" si="1" xml:space="preserve"> "Q" &amp; INT((MID(A2,6,2)+2)/3)</f>
        <v>Q3</v>
      </c>
      <c r="J2" s="1" t="str">
        <f t="shared" ref="J2:J24" si="2" xml:space="preserve"> IF(G2="", "-",
       IF(G2&gt;100%, "异常高增长",
       IF(G2&gt;20%, "高速增长",
       IF(G2&gt;5%, "平稳增长",
       IF(G2&gt;0%, "温和增长",
       IF(G2&gt;-5%, "微增长",
       IF(G2&gt;-10%, "小幅下滑",
       IF(G2&gt;-20%, "明显下滑", "大幅下滑"))))))))</f>
        <v>-</v>
      </c>
      <c r="K2" s="3">
        <f xml:space="preserve"> SUM($D$2:D2)</f>
        <v>0</v>
      </c>
    </row>
    <row r="3" spans="1:11" ht="15.6" x14ac:dyDescent="0.35">
      <c r="A3" s="1" t="s">
        <v>7</v>
      </c>
      <c r="B3" s="1">
        <v>265</v>
      </c>
      <c r="C3" s="1">
        <v>265</v>
      </c>
      <c r="D3" s="1">
        <v>46566.710000000006</v>
      </c>
      <c r="E3" s="1">
        <v>165.13017730496455</v>
      </c>
      <c r="F3" s="1"/>
      <c r="G3" s="1"/>
      <c r="H3" s="3" t="str">
        <f t="shared" si="0"/>
        <v>2016</v>
      </c>
      <c r="I3" s="1" t="str">
        <f t="shared" si="1"/>
        <v>Q4</v>
      </c>
      <c r="J3" s="1" t="str">
        <f t="shared" si="2"/>
        <v>-</v>
      </c>
      <c r="K3" s="3">
        <f xml:space="preserve"> SUM($D$2:D3)</f>
        <v>46566.710000000006</v>
      </c>
    </row>
    <row r="4" spans="1:11" ht="15.6" x14ac:dyDescent="0.35">
      <c r="A4" s="1" t="s">
        <v>8</v>
      </c>
      <c r="B4" s="1">
        <v>1</v>
      </c>
      <c r="C4" s="1">
        <v>1</v>
      </c>
      <c r="D4" s="1">
        <v>19.62</v>
      </c>
      <c r="E4" s="1">
        <v>19.62</v>
      </c>
      <c r="F4" s="1">
        <v>46566.710000000006</v>
      </c>
      <c r="G4" s="1">
        <v>-99.96</v>
      </c>
      <c r="H4" s="3" t="str">
        <f t="shared" si="0"/>
        <v>2016</v>
      </c>
      <c r="I4" s="1" t="str">
        <f t="shared" si="1"/>
        <v>Q4</v>
      </c>
      <c r="J4" s="1" t="str">
        <f t="shared" si="2"/>
        <v>大幅下滑</v>
      </c>
      <c r="K4" s="3">
        <f xml:space="preserve"> SUM($D$2:D4)</f>
        <v>46586.330000000009</v>
      </c>
    </row>
    <row r="5" spans="1:11" ht="15.6" x14ac:dyDescent="0.35">
      <c r="A5" s="1" t="s">
        <v>9</v>
      </c>
      <c r="B5" s="1">
        <v>750</v>
      </c>
      <c r="C5" s="1">
        <v>750</v>
      </c>
      <c r="D5" s="1">
        <v>127545.66999999991</v>
      </c>
      <c r="E5" s="1">
        <v>159.63162703379214</v>
      </c>
      <c r="F5" s="1">
        <v>19.62</v>
      </c>
      <c r="G5" s="1">
        <v>649979.87</v>
      </c>
      <c r="H5" s="3" t="str">
        <f t="shared" si="0"/>
        <v>2017</v>
      </c>
      <c r="I5" s="1" t="str">
        <f t="shared" si="1"/>
        <v>Q1</v>
      </c>
      <c r="J5" s="1" t="str">
        <f t="shared" si="2"/>
        <v>异常高增长</v>
      </c>
      <c r="K5" s="3">
        <f xml:space="preserve"> SUM($D$2:D5)</f>
        <v>174131.99999999991</v>
      </c>
    </row>
    <row r="6" spans="1:11" ht="15.6" x14ac:dyDescent="0.35">
      <c r="A6" s="1" t="s">
        <v>10</v>
      </c>
      <c r="B6" s="1">
        <v>1653</v>
      </c>
      <c r="C6" s="1">
        <v>1653</v>
      </c>
      <c r="D6" s="1">
        <v>271298.64999999962</v>
      </c>
      <c r="E6" s="1">
        <v>155.11643796455095</v>
      </c>
      <c r="F6" s="1">
        <v>127545.66999999991</v>
      </c>
      <c r="G6" s="1">
        <v>112.71</v>
      </c>
      <c r="H6" s="3" t="str">
        <f t="shared" si="0"/>
        <v>2017</v>
      </c>
      <c r="I6" s="1" t="str">
        <f t="shared" si="1"/>
        <v>Q1</v>
      </c>
      <c r="J6" s="1" t="str">
        <f t="shared" si="2"/>
        <v>异常高增长</v>
      </c>
      <c r="K6" s="3">
        <f xml:space="preserve"> SUM($D$2:D6)</f>
        <v>445430.64999999956</v>
      </c>
    </row>
    <row r="7" spans="1:11" ht="15.6" x14ac:dyDescent="0.35">
      <c r="A7" s="1" t="s">
        <v>11</v>
      </c>
      <c r="B7" s="1">
        <v>2546</v>
      </c>
      <c r="C7" s="1">
        <v>2546</v>
      </c>
      <c r="D7" s="1">
        <v>414369.39000000019</v>
      </c>
      <c r="E7" s="1">
        <v>153.47014444444451</v>
      </c>
      <c r="F7" s="1">
        <v>271298.64999999962</v>
      </c>
      <c r="G7" s="1">
        <v>52.74</v>
      </c>
      <c r="H7" s="3" t="str">
        <f t="shared" si="0"/>
        <v>2017</v>
      </c>
      <c r="I7" s="1" t="str">
        <f t="shared" si="1"/>
        <v>Q1</v>
      </c>
      <c r="J7" s="1" t="str">
        <f t="shared" si="2"/>
        <v>异常高增长</v>
      </c>
      <c r="K7" s="3">
        <f xml:space="preserve"> SUM($D$2:D7)</f>
        <v>859800.0399999998</v>
      </c>
    </row>
    <row r="8" spans="1:11" ht="15.6" x14ac:dyDescent="0.35">
      <c r="A8" s="1" t="s">
        <v>12</v>
      </c>
      <c r="B8" s="1">
        <v>2303</v>
      </c>
      <c r="C8" s="1">
        <v>2303</v>
      </c>
      <c r="D8" s="1">
        <v>390952.17999999953</v>
      </c>
      <c r="E8" s="1">
        <v>160.48940065681427</v>
      </c>
      <c r="F8" s="1">
        <v>414369.39000000019</v>
      </c>
      <c r="G8" s="1">
        <v>-5.65</v>
      </c>
      <c r="H8" s="3" t="str">
        <f t="shared" si="0"/>
        <v>2017</v>
      </c>
      <c r="I8" s="1" t="str">
        <f t="shared" si="1"/>
        <v>Q2</v>
      </c>
      <c r="J8" s="1" t="str">
        <f t="shared" si="2"/>
        <v>大幅下滑</v>
      </c>
      <c r="K8" s="3">
        <f xml:space="preserve"> SUM($D$2:D8)</f>
        <v>1250752.2199999993</v>
      </c>
    </row>
    <row r="9" spans="1:11" ht="15.6" x14ac:dyDescent="0.35">
      <c r="A9" s="1" t="s">
        <v>13</v>
      </c>
      <c r="B9" s="1">
        <v>3546</v>
      </c>
      <c r="C9" s="1">
        <v>3546</v>
      </c>
      <c r="D9" s="1">
        <v>567066.73000000254</v>
      </c>
      <c r="E9" s="1">
        <v>149.74035648270467</v>
      </c>
      <c r="F9" s="1">
        <v>390952.17999999953</v>
      </c>
      <c r="G9" s="1">
        <v>45.05</v>
      </c>
      <c r="H9" s="3" t="str">
        <f t="shared" si="0"/>
        <v>2017</v>
      </c>
      <c r="I9" s="1" t="str">
        <f t="shared" si="1"/>
        <v>Q2</v>
      </c>
      <c r="J9" s="1" t="str">
        <f t="shared" si="2"/>
        <v>异常高增长</v>
      </c>
      <c r="K9" s="3">
        <f xml:space="preserve"> SUM($D$2:D9)</f>
        <v>1817818.9500000018</v>
      </c>
    </row>
    <row r="10" spans="1:11" ht="15.6" x14ac:dyDescent="0.35">
      <c r="A10" s="1" t="s">
        <v>14</v>
      </c>
      <c r="B10" s="1">
        <v>3135</v>
      </c>
      <c r="C10" s="1">
        <v>3135</v>
      </c>
      <c r="D10" s="1">
        <v>490225.6000000037</v>
      </c>
      <c r="E10" s="1">
        <v>147.52500752332341</v>
      </c>
      <c r="F10" s="1">
        <v>567066.73000000254</v>
      </c>
      <c r="G10" s="1">
        <v>-13.55</v>
      </c>
      <c r="H10" s="3" t="str">
        <f t="shared" si="0"/>
        <v>2017</v>
      </c>
      <c r="I10" s="1" t="str">
        <f t="shared" si="1"/>
        <v>Q2</v>
      </c>
      <c r="J10" s="1" t="str">
        <f t="shared" si="2"/>
        <v>大幅下滑</v>
      </c>
      <c r="K10" s="3">
        <f xml:space="preserve"> SUM($D$2:D10)</f>
        <v>2308044.5500000054</v>
      </c>
    </row>
    <row r="11" spans="1:11" ht="15.6" x14ac:dyDescent="0.35">
      <c r="A11" s="1" t="s">
        <v>15</v>
      </c>
      <c r="B11" s="1">
        <v>3872</v>
      </c>
      <c r="C11" s="1">
        <v>3872</v>
      </c>
      <c r="D11" s="1">
        <v>566403.93000000413</v>
      </c>
      <c r="E11" s="1">
        <v>136.58160839160939</v>
      </c>
      <c r="F11" s="1">
        <v>490225.6000000037</v>
      </c>
      <c r="G11" s="1">
        <v>15.54</v>
      </c>
      <c r="H11" s="3" t="str">
        <f t="shared" si="0"/>
        <v>2017</v>
      </c>
      <c r="I11" s="1" t="str">
        <f t="shared" si="1"/>
        <v>Q3</v>
      </c>
      <c r="J11" s="1" t="str">
        <f t="shared" si="2"/>
        <v>异常高增长</v>
      </c>
      <c r="K11" s="3">
        <f xml:space="preserve"> SUM($D$2:D11)</f>
        <v>2874448.4800000098</v>
      </c>
    </row>
    <row r="12" spans="1:11" ht="15.6" x14ac:dyDescent="0.35">
      <c r="A12" s="1" t="s">
        <v>16</v>
      </c>
      <c r="B12" s="1">
        <v>4193</v>
      </c>
      <c r="C12" s="1">
        <v>4193</v>
      </c>
      <c r="D12" s="1">
        <v>646000.6100000029</v>
      </c>
      <c r="E12" s="1">
        <v>147.05226724334233</v>
      </c>
      <c r="F12" s="1">
        <v>566403.93000000413</v>
      </c>
      <c r="G12" s="1">
        <v>14.05</v>
      </c>
      <c r="H12" s="3" t="str">
        <f t="shared" si="0"/>
        <v>2017</v>
      </c>
      <c r="I12" s="1" t="str">
        <f t="shared" si="1"/>
        <v>Q3</v>
      </c>
      <c r="J12" s="1" t="str">
        <f t="shared" si="2"/>
        <v>异常高增长</v>
      </c>
      <c r="K12" s="3">
        <f xml:space="preserve"> SUM($D$2:D12)</f>
        <v>3520449.0900000129</v>
      </c>
    </row>
    <row r="13" spans="1:11" ht="15.6" x14ac:dyDescent="0.35">
      <c r="A13" s="1" t="s">
        <v>17</v>
      </c>
      <c r="B13" s="1">
        <v>4150</v>
      </c>
      <c r="C13" s="1">
        <v>4150</v>
      </c>
      <c r="D13" s="1">
        <v>701169.99000000022</v>
      </c>
      <c r="E13" s="1">
        <v>160.41409059711742</v>
      </c>
      <c r="F13" s="1">
        <v>646000.6100000029</v>
      </c>
      <c r="G13" s="1">
        <v>8.5399999999999991</v>
      </c>
      <c r="H13" s="3" t="str">
        <f t="shared" si="0"/>
        <v>2017</v>
      </c>
      <c r="I13" s="1" t="str">
        <f t="shared" si="1"/>
        <v>Q3</v>
      </c>
      <c r="J13" s="1" t="str">
        <f t="shared" si="2"/>
        <v>异常高增长</v>
      </c>
      <c r="K13" s="3">
        <f xml:space="preserve"> SUM($D$2:D13)</f>
        <v>4221619.0800000131</v>
      </c>
    </row>
    <row r="14" spans="1:11" ht="15.6" x14ac:dyDescent="0.35">
      <c r="A14" s="1" t="s">
        <v>18</v>
      </c>
      <c r="B14" s="1">
        <v>4478</v>
      </c>
      <c r="C14" s="1">
        <v>4478</v>
      </c>
      <c r="D14" s="1">
        <v>751140.27000000118</v>
      </c>
      <c r="E14" s="1">
        <v>159.88511494252899</v>
      </c>
      <c r="F14" s="1">
        <v>701169.99000000022</v>
      </c>
      <c r="G14" s="1">
        <v>7.13</v>
      </c>
      <c r="H14" s="3" t="str">
        <f t="shared" si="0"/>
        <v>2017</v>
      </c>
      <c r="I14" s="1" t="str">
        <f t="shared" si="1"/>
        <v>Q4</v>
      </c>
      <c r="J14" s="1" t="str">
        <f t="shared" si="2"/>
        <v>异常高增长</v>
      </c>
      <c r="K14" s="3">
        <f xml:space="preserve"> SUM($D$2:D14)</f>
        <v>4972759.3500000145</v>
      </c>
    </row>
    <row r="15" spans="1:11" ht="15.6" x14ac:dyDescent="0.35">
      <c r="A15" s="1" t="s">
        <v>19</v>
      </c>
      <c r="B15" s="1">
        <v>7289</v>
      </c>
      <c r="C15" s="1">
        <v>7289</v>
      </c>
      <c r="D15" s="1">
        <v>1153528.0500000031</v>
      </c>
      <c r="E15" s="1">
        <v>151.91993283287277</v>
      </c>
      <c r="F15" s="1">
        <v>751140.27000000118</v>
      </c>
      <c r="G15" s="1">
        <v>53.57</v>
      </c>
      <c r="H15" s="3" t="str">
        <f t="shared" si="0"/>
        <v>2017</v>
      </c>
      <c r="I15" s="1" t="str">
        <f t="shared" si="1"/>
        <v>Q4</v>
      </c>
      <c r="J15" s="1" t="str">
        <f t="shared" si="2"/>
        <v>异常高增长</v>
      </c>
      <c r="K15" s="3">
        <f xml:space="preserve"> SUM($D$2:D15)</f>
        <v>6126287.4000000171</v>
      </c>
    </row>
    <row r="16" spans="1:11" ht="15.6" x14ac:dyDescent="0.35">
      <c r="A16" s="1" t="s">
        <v>20</v>
      </c>
      <c r="B16" s="1">
        <v>5513</v>
      </c>
      <c r="C16" s="1">
        <v>5513</v>
      </c>
      <c r="D16" s="1">
        <v>843199.17000000202</v>
      </c>
      <c r="E16" s="1">
        <v>147.18086402513563</v>
      </c>
      <c r="F16" s="1">
        <v>1153528.0500000031</v>
      </c>
      <c r="G16" s="1">
        <v>-26.9</v>
      </c>
      <c r="H16" s="3" t="str">
        <f t="shared" si="0"/>
        <v>2017</v>
      </c>
      <c r="I16" s="1" t="str">
        <f t="shared" si="1"/>
        <v>Q4</v>
      </c>
      <c r="J16" s="1" t="str">
        <f t="shared" si="2"/>
        <v>大幅下滑</v>
      </c>
      <c r="K16" s="3">
        <f xml:space="preserve"> SUM($D$2:D16)</f>
        <v>6969486.5700000189</v>
      </c>
    </row>
    <row r="17" spans="1:11" ht="15.6" x14ac:dyDescent="0.35">
      <c r="A17" s="1" t="s">
        <v>21</v>
      </c>
      <c r="B17" s="1">
        <v>7069</v>
      </c>
      <c r="C17" s="1">
        <v>7069</v>
      </c>
      <c r="D17" s="1">
        <v>1078606.8599999996</v>
      </c>
      <c r="E17" s="1">
        <v>146.72926948714456</v>
      </c>
      <c r="F17" s="1">
        <v>843199.17000000202</v>
      </c>
      <c r="G17" s="1">
        <v>27.92</v>
      </c>
      <c r="H17" s="3" t="str">
        <f t="shared" si="0"/>
        <v>2018</v>
      </c>
      <c r="I17" s="1" t="str">
        <f t="shared" si="1"/>
        <v>Q1</v>
      </c>
      <c r="J17" s="1" t="str">
        <f t="shared" si="2"/>
        <v>异常高增长</v>
      </c>
      <c r="K17" s="3">
        <f xml:space="preserve"> SUM($D$2:D17)</f>
        <v>8048093.4300000183</v>
      </c>
    </row>
    <row r="18" spans="1:11" ht="15.6" x14ac:dyDescent="0.35">
      <c r="A18" s="1" t="s">
        <v>22</v>
      </c>
      <c r="B18" s="1">
        <v>6555</v>
      </c>
      <c r="C18" s="1">
        <v>6555</v>
      </c>
      <c r="D18" s="1">
        <v>966510.88</v>
      </c>
      <c r="E18" s="1">
        <v>142.63737898465172</v>
      </c>
      <c r="F18" s="1">
        <v>1078606.8599999996</v>
      </c>
      <c r="G18" s="1">
        <v>-10.39</v>
      </c>
      <c r="H18" s="3" t="str">
        <f t="shared" si="0"/>
        <v>2018</v>
      </c>
      <c r="I18" s="1" t="str">
        <f t="shared" si="1"/>
        <v>Q1</v>
      </c>
      <c r="J18" s="1" t="str">
        <f t="shared" si="2"/>
        <v>大幅下滑</v>
      </c>
      <c r="K18" s="3">
        <f xml:space="preserve"> SUM($D$2:D18)</f>
        <v>9014604.3100000191</v>
      </c>
    </row>
    <row r="19" spans="1:11" ht="15.6" x14ac:dyDescent="0.35">
      <c r="A19" s="1" t="s">
        <v>23</v>
      </c>
      <c r="B19" s="1">
        <v>7003</v>
      </c>
      <c r="C19" s="1">
        <v>7003</v>
      </c>
      <c r="D19" s="1">
        <v>1120677.9999999956</v>
      </c>
      <c r="E19" s="1">
        <v>153.58064958201939</v>
      </c>
      <c r="F19" s="1">
        <v>966510.88</v>
      </c>
      <c r="G19" s="1">
        <v>15.95</v>
      </c>
      <c r="H19" s="3" t="str">
        <f t="shared" si="0"/>
        <v>2018</v>
      </c>
      <c r="I19" s="1" t="str">
        <f t="shared" si="1"/>
        <v>Q1</v>
      </c>
      <c r="J19" s="1" t="str">
        <f t="shared" si="2"/>
        <v>异常高增长</v>
      </c>
      <c r="K19" s="3">
        <f xml:space="preserve"> SUM($D$2:D19)</f>
        <v>10135282.310000015</v>
      </c>
    </row>
    <row r="20" spans="1:11" ht="15.6" x14ac:dyDescent="0.35">
      <c r="A20" s="1" t="s">
        <v>24</v>
      </c>
      <c r="B20" s="1">
        <v>6798</v>
      </c>
      <c r="C20" s="1">
        <v>6798</v>
      </c>
      <c r="D20" s="1">
        <v>1132933.9499999918</v>
      </c>
      <c r="E20" s="1">
        <v>160.3132800339595</v>
      </c>
      <c r="F20" s="1">
        <v>1120677.9999999956</v>
      </c>
      <c r="G20" s="1">
        <v>1.0900000000000001</v>
      </c>
      <c r="H20" s="3" t="str">
        <f t="shared" si="0"/>
        <v>2018</v>
      </c>
      <c r="I20" s="1" t="str">
        <f t="shared" si="1"/>
        <v>Q2</v>
      </c>
      <c r="J20" s="1" t="str">
        <f t="shared" si="2"/>
        <v>异常高增长</v>
      </c>
      <c r="K20" s="3">
        <f xml:space="preserve"> SUM($D$2:D20)</f>
        <v>11268216.260000007</v>
      </c>
    </row>
    <row r="21" spans="1:11" ht="15.6" x14ac:dyDescent="0.35">
      <c r="A21" s="1" t="s">
        <v>25</v>
      </c>
      <c r="B21" s="1">
        <v>6749</v>
      </c>
      <c r="C21" s="1">
        <v>6749</v>
      </c>
      <c r="D21" s="1">
        <v>1128836.6899999995</v>
      </c>
      <c r="E21" s="1">
        <v>161.21632247929156</v>
      </c>
      <c r="F21" s="1">
        <v>1132933.9499999918</v>
      </c>
      <c r="G21" s="1">
        <v>-0.36</v>
      </c>
      <c r="H21" s="3" t="str">
        <f t="shared" si="0"/>
        <v>2018</v>
      </c>
      <c r="I21" s="1" t="str">
        <f t="shared" si="1"/>
        <v>Q2</v>
      </c>
      <c r="J21" s="1" t="str">
        <f t="shared" si="2"/>
        <v>大幅下滑</v>
      </c>
      <c r="K21" s="3">
        <f xml:space="preserve"> SUM($D$2:D21)</f>
        <v>12397052.950000007</v>
      </c>
    </row>
    <row r="22" spans="1:11" ht="15.6" x14ac:dyDescent="0.35">
      <c r="A22" s="1" t="s">
        <v>26</v>
      </c>
      <c r="B22" s="1">
        <v>6099</v>
      </c>
      <c r="C22" s="1">
        <v>6099</v>
      </c>
      <c r="D22" s="1">
        <v>1012090.6799999945</v>
      </c>
      <c r="E22" s="1">
        <v>159.38435905511724</v>
      </c>
      <c r="F22" s="1">
        <v>1128836.6899999995</v>
      </c>
      <c r="G22" s="1">
        <v>-10.34</v>
      </c>
      <c r="H22" s="3" t="str">
        <f t="shared" si="0"/>
        <v>2018</v>
      </c>
      <c r="I22" s="1" t="str">
        <f t="shared" si="1"/>
        <v>Q2</v>
      </c>
      <c r="J22" s="1" t="str">
        <f t="shared" si="2"/>
        <v>大幅下滑</v>
      </c>
      <c r="K22" s="3">
        <f xml:space="preserve"> SUM($D$2:D22)</f>
        <v>13409143.630000001</v>
      </c>
    </row>
    <row r="23" spans="1:11" ht="15.6" x14ac:dyDescent="0.35">
      <c r="A23" s="1" t="s">
        <v>27</v>
      </c>
      <c r="B23" s="1">
        <v>6159</v>
      </c>
      <c r="C23" s="1">
        <v>6159</v>
      </c>
      <c r="D23" s="1">
        <v>1027903.86</v>
      </c>
      <c r="E23" s="1">
        <v>161.36638304552591</v>
      </c>
      <c r="F23" s="1">
        <v>1012090.6799999945</v>
      </c>
      <c r="G23" s="1">
        <v>1.56</v>
      </c>
      <c r="H23" s="3" t="str">
        <f t="shared" si="0"/>
        <v>2018</v>
      </c>
      <c r="I23" s="1" t="str">
        <f t="shared" si="1"/>
        <v>Q3</v>
      </c>
      <c r="J23" s="1" t="str">
        <f t="shared" si="2"/>
        <v>异常高增长</v>
      </c>
      <c r="K23" s="3">
        <f xml:space="preserve"> SUM($D$2:D23)</f>
        <v>14437047.49</v>
      </c>
    </row>
    <row r="24" spans="1:11" ht="15.6" x14ac:dyDescent="0.35">
      <c r="A24" s="1" t="s">
        <v>28</v>
      </c>
      <c r="B24" s="1">
        <v>6351</v>
      </c>
      <c r="C24" s="1">
        <v>6351</v>
      </c>
      <c r="D24" s="1">
        <v>985414.27999999642</v>
      </c>
      <c r="E24" s="1">
        <v>150.79024942616624</v>
      </c>
      <c r="F24" s="1">
        <v>1027903.86</v>
      </c>
      <c r="G24" s="1">
        <v>-4.13</v>
      </c>
      <c r="H24" s="3" t="str">
        <f t="shared" si="0"/>
        <v>2018</v>
      </c>
      <c r="I24" s="1" t="str">
        <f t="shared" si="1"/>
        <v>Q3</v>
      </c>
      <c r="J24" s="1" t="str">
        <f t="shared" si="2"/>
        <v>大幅下滑</v>
      </c>
      <c r="K24" s="3">
        <f xml:space="preserve"> SUM($D$2:D24)</f>
        <v>15422461.769999996</v>
      </c>
    </row>
  </sheetData>
  <phoneticPr fontId="1" type="noConversion"/>
  <conditionalFormatting sqref="D3:D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{ADEEDB85-E388-4295-8626-58477C3EB717}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EEDB85-E388-4295-8626-58477C3EB7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F662-F107-4D09-B15D-E6178D99466E}">
  <dimension ref="A1:L16"/>
  <sheetViews>
    <sheetView workbookViewId="0">
      <selection activeCell="E12" sqref="E12"/>
    </sheetView>
  </sheetViews>
  <sheetFormatPr defaultRowHeight="14.4" x14ac:dyDescent="0.3"/>
  <cols>
    <col min="1" max="1" width="16.109375" bestFit="1" customWidth="1"/>
    <col min="2" max="2" width="14.109375" bestFit="1" customWidth="1"/>
    <col min="3" max="3" width="12.88671875" customWidth="1"/>
    <col min="4" max="5" width="14.88671875" customWidth="1"/>
    <col min="6" max="8" width="16.88671875" customWidth="1"/>
    <col min="9" max="10" width="14.88671875" customWidth="1"/>
    <col min="11" max="11" width="12.88671875" customWidth="1"/>
    <col min="12" max="12" width="10.88671875" customWidth="1"/>
  </cols>
  <sheetData>
    <row r="1" spans="1:12" ht="15.6" x14ac:dyDescent="0.35">
      <c r="A1" s="1" t="s">
        <v>29</v>
      </c>
      <c r="B1" s="1" t="s">
        <v>1</v>
      </c>
      <c r="C1" s="1" t="s">
        <v>30</v>
      </c>
      <c r="D1" s="1" t="s">
        <v>4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88</v>
      </c>
      <c r="J1" s="1" t="s">
        <v>89</v>
      </c>
      <c r="K1" s="1" t="s">
        <v>90</v>
      </c>
      <c r="L1" s="1" t="s">
        <v>91</v>
      </c>
    </row>
    <row r="2" spans="1:12" ht="15.6" x14ac:dyDescent="0.35">
      <c r="A2" s="1" t="s">
        <v>35</v>
      </c>
      <c r="B2" s="1">
        <v>16499</v>
      </c>
      <c r="C2" s="1">
        <v>609053.04000001017</v>
      </c>
      <c r="D2" s="1">
        <v>36.914542699558162</v>
      </c>
      <c r="E2" s="1">
        <v>1.0430999999999999</v>
      </c>
      <c r="F2" s="1">
        <v>1.5185</v>
      </c>
      <c r="G2" s="1">
        <v>17.100000000000001</v>
      </c>
      <c r="H2" s="1">
        <v>3.95</v>
      </c>
      <c r="I2" s="1">
        <f>SUM($G$2:G2)/SUM($G$2:$G$7)</f>
        <v>0.17098290170982902</v>
      </c>
      <c r="J2" s="1">
        <f>SUM($H$2:H2)/SUM($H$2:$H$7)</f>
        <v>3.95E-2</v>
      </c>
      <c r="K2" s="1" t="str">
        <f>IF(J2&lt;=0.8,"A类",IF(J2&lt;=0.95,"B类","C类"))</f>
        <v>A类</v>
      </c>
      <c r="L2" s="1">
        <f>H2/G2</f>
        <v>0.23099415204678361</v>
      </c>
    </row>
    <row r="3" spans="1:12" ht="15.6" x14ac:dyDescent="0.35">
      <c r="A3" s="1" t="s">
        <v>36</v>
      </c>
      <c r="B3" s="1">
        <v>29421</v>
      </c>
      <c r="C3" s="1">
        <v>2157045.0900000003</v>
      </c>
      <c r="D3" s="1">
        <v>73.316511675333956</v>
      </c>
      <c r="E3" s="1">
        <v>1.0482</v>
      </c>
      <c r="F3" s="1">
        <v>2.2685</v>
      </c>
      <c r="G3" s="1">
        <v>30.5</v>
      </c>
      <c r="H3" s="1">
        <v>13.99</v>
      </c>
      <c r="I3" s="1">
        <f>SUM($G$2:G3)/SUM($G$2:$G$7)</f>
        <v>0.47595240475952405</v>
      </c>
      <c r="J3" s="1">
        <f>SUM($H$2:H3)/SUM($H$2:$H$7)</f>
        <v>0.1794</v>
      </c>
      <c r="K3" s="1" t="str">
        <f t="shared" ref="K3:K7" si="0">IF(J3&lt;=0.8,"A类",IF(J3&lt;=0.95,"B类","C类"))</f>
        <v>A类</v>
      </c>
      <c r="L3" s="1">
        <f t="shared" ref="L3:L7" si="1">H3/G3</f>
        <v>0.45868852459016396</v>
      </c>
    </row>
    <row r="4" spans="1:12" ht="15.6" x14ac:dyDescent="0.35">
      <c r="A4" s="10" t="s">
        <v>37</v>
      </c>
      <c r="B4" s="10">
        <v>31016</v>
      </c>
      <c r="C4" s="10">
        <v>4403642.4999999776</v>
      </c>
      <c r="D4" s="10">
        <v>141.97970402372897</v>
      </c>
      <c r="E4" s="10">
        <v>1.0411999999999999</v>
      </c>
      <c r="F4" s="10">
        <v>3.1772999999999998</v>
      </c>
      <c r="G4" s="10">
        <v>32.15</v>
      </c>
      <c r="H4" s="10">
        <v>28.55</v>
      </c>
      <c r="I4" s="10">
        <f>SUM($G$2:G4)/SUM($G$2:$G$7)</f>
        <v>0.79742025797420257</v>
      </c>
      <c r="J4" s="10">
        <f>SUM($H$2:H4)/SUM($H$2:$H$7)</f>
        <v>0.46490000000000004</v>
      </c>
      <c r="K4" s="10" t="str">
        <f t="shared" si="0"/>
        <v>A类</v>
      </c>
      <c r="L4" s="10">
        <f t="shared" si="1"/>
        <v>0.88802488335925356</v>
      </c>
    </row>
    <row r="5" spans="1:12" ht="15.6" x14ac:dyDescent="0.35">
      <c r="A5" s="1" t="s">
        <v>38</v>
      </c>
      <c r="B5" s="1">
        <v>15465</v>
      </c>
      <c r="C5" s="1">
        <v>4483032.9999999925</v>
      </c>
      <c r="D5" s="1">
        <v>289.88250889104381</v>
      </c>
      <c r="E5" s="1">
        <v>1.0421</v>
      </c>
      <c r="F5" s="1">
        <v>4.3571</v>
      </c>
      <c r="G5" s="1">
        <v>16.03</v>
      </c>
      <c r="H5" s="1">
        <v>29.07</v>
      </c>
      <c r="I5" s="1">
        <f>SUM($G$2:G5)/SUM($G$2:$G$7)</f>
        <v>0.95770422957704227</v>
      </c>
      <c r="J5" s="1">
        <f>SUM($H$2:H5)/SUM($H$2:$H$7)</f>
        <v>0.75560000000000005</v>
      </c>
      <c r="K5" s="1" t="str">
        <f t="shared" si="0"/>
        <v>A类</v>
      </c>
      <c r="L5" s="1">
        <f t="shared" si="1"/>
        <v>1.8134747348721147</v>
      </c>
    </row>
    <row r="6" spans="1:12" ht="15.6" x14ac:dyDescent="0.35">
      <c r="A6" s="1" t="s">
        <v>39</v>
      </c>
      <c r="B6" s="1">
        <v>2969</v>
      </c>
      <c r="C6" s="1">
        <v>2020199.0999999992</v>
      </c>
      <c r="D6" s="1">
        <v>680.43081845739277</v>
      </c>
      <c r="E6" s="1">
        <v>1.0515000000000001</v>
      </c>
      <c r="F6" s="1">
        <v>5.8857999999999997</v>
      </c>
      <c r="G6" s="1">
        <v>3.08</v>
      </c>
      <c r="H6" s="1">
        <v>13.1</v>
      </c>
      <c r="I6" s="1">
        <f>SUM($G$2:G6)/SUM($G$2:$G$7)</f>
        <v>0.98850114988501148</v>
      </c>
      <c r="J6" s="1">
        <f>SUM($H$2:H6)/SUM($H$2:$H$7)</f>
        <v>0.88659999999999994</v>
      </c>
      <c r="K6" s="1" t="str">
        <f t="shared" si="0"/>
        <v>B类</v>
      </c>
      <c r="L6" s="1">
        <f t="shared" si="1"/>
        <v>4.2532467532467528</v>
      </c>
    </row>
    <row r="7" spans="1:12" ht="15.6" x14ac:dyDescent="0.35">
      <c r="A7" s="1" t="s">
        <v>40</v>
      </c>
      <c r="B7" s="1">
        <v>1107</v>
      </c>
      <c r="C7" s="1">
        <v>1749489.0400000042</v>
      </c>
      <c r="D7" s="1">
        <v>1580.3875700090373</v>
      </c>
      <c r="E7" s="1">
        <v>1.0587</v>
      </c>
      <c r="F7" s="1">
        <v>6.5799000000000003</v>
      </c>
      <c r="G7" s="1">
        <v>1.1499999999999999</v>
      </c>
      <c r="H7" s="1">
        <v>11.34</v>
      </c>
      <c r="I7" s="1">
        <f>SUM($G$2:G7)/SUM($G$2:$G$7)</f>
        <v>1</v>
      </c>
      <c r="J7" s="1">
        <f>SUM($H$2:H7)/SUM($H$2:$H$7)</f>
        <v>1</v>
      </c>
      <c r="K7" s="1" t="str">
        <f t="shared" si="0"/>
        <v>C类</v>
      </c>
      <c r="L7" s="1">
        <f t="shared" si="1"/>
        <v>9.8608695652173921</v>
      </c>
    </row>
    <row r="11" spans="1:12" ht="15.6" x14ac:dyDescent="0.35">
      <c r="A11" s="24" t="s">
        <v>92</v>
      </c>
      <c r="B11" s="24"/>
    </row>
    <row r="12" spans="1:12" ht="15.6" x14ac:dyDescent="0.35">
      <c r="A12" s="6" t="s">
        <v>87</v>
      </c>
      <c r="B12" s="8" t="s">
        <v>97</v>
      </c>
    </row>
    <row r="13" spans="1:12" ht="15.6" x14ac:dyDescent="0.35">
      <c r="A13" s="6" t="s">
        <v>93</v>
      </c>
      <c r="B13" s="8">
        <f>SUM(B2:B7)</f>
        <v>96477</v>
      </c>
    </row>
    <row r="14" spans="1:12" ht="15.6" x14ac:dyDescent="0.35">
      <c r="A14" s="6" t="s">
        <v>94</v>
      </c>
      <c r="B14" s="8">
        <f>SUM(C2:C7)</f>
        <v>15422461.769999985</v>
      </c>
    </row>
    <row r="15" spans="1:12" ht="15.6" x14ac:dyDescent="0.35">
      <c r="A15" s="11" t="s">
        <v>95</v>
      </c>
      <c r="B15" s="12">
        <f>B14/B13</f>
        <v>159.85635716284693</v>
      </c>
    </row>
    <row r="16" spans="1:12" ht="15.6" x14ac:dyDescent="0.35">
      <c r="A16" s="6" t="s">
        <v>96</v>
      </c>
      <c r="B16" s="8" t="str">
        <f>INDEX(A2:A7, MATCH(0.8, J2:J7, 1))</f>
        <v>201-500元</v>
      </c>
    </row>
  </sheetData>
  <mergeCells count="1">
    <mergeCell ref="A11:B11"/>
  </mergeCells>
  <phoneticPr fontId="1" type="noConversion"/>
  <conditionalFormatting sqref="G1:G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{F8C12006-D62B-459C-96FA-680E4B6ABD2C}</x14:id>
        </ext>
      </extLst>
    </cfRule>
  </conditionalFormatting>
  <conditionalFormatting sqref="G2:G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{73DAAA98-8607-411D-9FF5-B46D79792EF6}</x14:id>
        </ext>
      </extLst>
    </cfRule>
  </conditionalFormatting>
  <conditionalFormatting sqref="H1:H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{20B06E78-85D7-4200-A51F-391CC75CCC8B}</x14:id>
        </ext>
      </extLst>
    </cfRule>
  </conditionalFormatting>
  <conditionalFormatting sqref="L1:L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{40F114E0-D4E3-483D-BA29-71939388CF49}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C12006-D62B-459C-96FA-680E4B6ABD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73DAAA98-8607-411D-9FF5-B46D79792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G2:G7</xm:sqref>
        </x14:conditionalFormatting>
        <x14:conditionalFormatting xmlns:xm="http://schemas.microsoft.com/office/excel/2006/main">
          <x14:cfRule type="dataBar" id="{20B06E78-85D7-4200-A51F-391CC75CCC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40F114E0-D4E3-483D-BA29-71939388CF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1DC3-CDBA-4D57-BE81-3C582533B480}">
  <dimension ref="A1:N6"/>
  <sheetViews>
    <sheetView workbookViewId="0">
      <selection activeCell="F10" sqref="F10"/>
    </sheetView>
  </sheetViews>
  <sheetFormatPr defaultRowHeight="15.6" x14ac:dyDescent="0.35"/>
  <cols>
    <col min="1" max="1" width="16.109375" style="1" bestFit="1" customWidth="1"/>
    <col min="2" max="2" width="10.88671875" style="1" customWidth="1"/>
    <col min="3" max="3" width="18.88671875" style="1" customWidth="1"/>
    <col min="4" max="5" width="14.88671875" style="1" customWidth="1"/>
    <col min="6" max="6" width="12.88671875" style="1" customWidth="1"/>
    <col min="7" max="8" width="16.88671875" style="1" customWidth="1"/>
    <col min="9" max="9" width="10.88671875" style="1" customWidth="1"/>
    <col min="10" max="10" width="14.88671875" style="1" customWidth="1"/>
    <col min="11" max="11" width="12.88671875" style="1" customWidth="1"/>
    <col min="12" max="13" width="8.88671875" style="1"/>
    <col min="14" max="14" width="20.5546875" style="1" customWidth="1"/>
    <col min="15" max="16384" width="8.88671875" style="1"/>
  </cols>
  <sheetData>
    <row r="1" spans="1:14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5" t="s">
        <v>98</v>
      </c>
      <c r="J1" s="5" t="s">
        <v>99</v>
      </c>
      <c r="K1" s="5" t="s">
        <v>100</v>
      </c>
      <c r="M1" s="5" t="s">
        <v>101</v>
      </c>
      <c r="N1" s="7" t="s">
        <v>102</v>
      </c>
    </row>
    <row r="2" spans="1:14" ht="15" customHeight="1" x14ac:dyDescent="0.35">
      <c r="A2" s="1" t="s">
        <v>49</v>
      </c>
      <c r="B2" s="1">
        <v>3177</v>
      </c>
      <c r="C2" s="1">
        <v>211.6953</v>
      </c>
      <c r="D2" s="1">
        <v>1</v>
      </c>
      <c r="E2" s="1">
        <v>287.65400062952477</v>
      </c>
      <c r="F2" s="1">
        <v>913876.76000000024</v>
      </c>
      <c r="G2" s="1">
        <v>3.29</v>
      </c>
      <c r="H2" s="1">
        <v>5.93</v>
      </c>
      <c r="I2" s="5">
        <f>F2/B2</f>
        <v>287.65400062952477</v>
      </c>
      <c r="J2" s="5">
        <f>G2*0.3+H2*0.7</f>
        <v>5.1379999999999999</v>
      </c>
      <c r="K2" s="5" t="str" cm="1">
        <f t="array" ref="K2">_xlfn.SWITCH(A2, "高价值活跃用户","P1", "高价值新用户","P2", "频繁购买用户","P3", "一般用户","P4", "流失风险用户","P5")</f>
        <v>P1</v>
      </c>
      <c r="M2" s="9" t="s">
        <v>103</v>
      </c>
      <c r="N2" s="1" t="str">
        <f>B2&amp;"用户"</f>
        <v>3177用户</v>
      </c>
    </row>
    <row r="3" spans="1:14" ht="15" customHeight="1" x14ac:dyDescent="0.35">
      <c r="A3" s="1" t="s">
        <v>50</v>
      </c>
      <c r="B3" s="1">
        <v>12740</v>
      </c>
      <c r="C3" s="1">
        <v>123.9029</v>
      </c>
      <c r="D3" s="1">
        <v>1</v>
      </c>
      <c r="E3" s="1">
        <v>297.02417189952797</v>
      </c>
      <c r="F3" s="1">
        <v>3784087.9499999867</v>
      </c>
      <c r="G3" s="1">
        <v>13.21</v>
      </c>
      <c r="H3" s="1">
        <v>24.54</v>
      </c>
      <c r="I3" s="5">
        <f t="shared" ref="I3:I6" si="0">F3/B3</f>
        <v>297.02417189952797</v>
      </c>
      <c r="J3" s="5">
        <f t="shared" ref="J3:J6" si="1">G3*0.3+H3*0.7</f>
        <v>21.140999999999998</v>
      </c>
      <c r="K3" s="5" t="str" cm="1">
        <f t="array" ref="K3">_xlfn.SWITCH(A3, "高价值活跃用户","P1", "高价值新用户","P2", "频繁购买用户","P3", "一般用户","P4", "流失风险用户","P5")</f>
        <v>P2</v>
      </c>
      <c r="M3" s="9"/>
      <c r="N3" s="1" t="str">
        <f>H2&amp;"消费占比"</f>
        <v>5.93消费占比</v>
      </c>
    </row>
    <row r="4" spans="1:14" ht="15" customHeight="1" x14ac:dyDescent="0.35">
      <c r="A4" s="1" t="s">
        <v>51</v>
      </c>
      <c r="B4" s="1">
        <v>35413</v>
      </c>
      <c r="C4" s="1">
        <v>299.37029999999999</v>
      </c>
      <c r="D4" s="1">
        <v>1</v>
      </c>
      <c r="E4" s="1">
        <v>146.95677547793184</v>
      </c>
      <c r="F4" s="1">
        <v>5204180.29</v>
      </c>
      <c r="G4" s="1">
        <v>36.71</v>
      </c>
      <c r="H4" s="1">
        <v>33.74</v>
      </c>
      <c r="I4" s="5">
        <f t="shared" si="0"/>
        <v>146.95677547793184</v>
      </c>
      <c r="J4" s="5">
        <f t="shared" si="1"/>
        <v>34.631</v>
      </c>
      <c r="K4" s="5" t="str" cm="1">
        <f t="array" ref="K4">_xlfn.SWITCH(A4, "高价值活跃用户","P1", "高价值新用户","P2", "频繁购买用户","P3", "一般用户","P4", "流失风险用户","P5")</f>
        <v>P3</v>
      </c>
      <c r="M4" s="9" t="s">
        <v>104</v>
      </c>
      <c r="N4" s="1" t="str">
        <f>B4&amp;"用户"</f>
        <v>35413用户</v>
      </c>
    </row>
    <row r="5" spans="1:14" x14ac:dyDescent="0.35">
      <c r="A5" s="1" t="s">
        <v>52</v>
      </c>
      <c r="B5" s="1">
        <v>41993</v>
      </c>
      <c r="C5" s="1">
        <v>321.60340000000002</v>
      </c>
      <c r="D5" s="1">
        <v>1</v>
      </c>
      <c r="E5" s="1">
        <v>127.31772081061027</v>
      </c>
      <c r="F5" s="1">
        <v>5346453.049999957</v>
      </c>
      <c r="G5" s="1">
        <v>43.53</v>
      </c>
      <c r="H5" s="1">
        <v>34.67</v>
      </c>
      <c r="I5" s="5">
        <f t="shared" si="0"/>
        <v>127.31772081061027</v>
      </c>
      <c r="J5" s="5">
        <f t="shared" si="1"/>
        <v>37.327999999999996</v>
      </c>
      <c r="K5" s="5" t="str" cm="1">
        <f t="array" ref="K5">_xlfn.SWITCH(A5, "高价值活跃用户","P1", "高价值新用户","P2", "频繁购买用户","P3", "一般用户","P4", "流失风险用户","P5")</f>
        <v>P4</v>
      </c>
      <c r="M5" s="9"/>
      <c r="N5" s="1" t="str">
        <f>H4&amp;"消费占比"</f>
        <v>33.74消费占比</v>
      </c>
    </row>
    <row r="6" spans="1:14" x14ac:dyDescent="0.35">
      <c r="A6" s="1" t="s">
        <v>53</v>
      </c>
      <c r="B6" s="1">
        <v>3154</v>
      </c>
      <c r="C6" s="1">
        <v>472.59640000000002</v>
      </c>
      <c r="D6" s="1">
        <v>1</v>
      </c>
      <c r="E6" s="1">
        <v>55.124831959416852</v>
      </c>
      <c r="F6" s="1">
        <v>173863.72000000076</v>
      </c>
      <c r="G6" s="1">
        <v>3.27</v>
      </c>
      <c r="H6" s="1">
        <v>1.1299999999999999</v>
      </c>
      <c r="I6" s="5">
        <f t="shared" si="0"/>
        <v>55.124831959416852</v>
      </c>
      <c r="J6" s="5">
        <f t="shared" si="1"/>
        <v>1.7719999999999998</v>
      </c>
      <c r="K6" s="5" t="str" cm="1">
        <f t="array" ref="K6">_xlfn.SWITCH(A6, "高价值活跃用户","P1", "高价值新用户","P2", "频繁购买用户","P3", "一般用户","P4", "流失风险用户","P5")</f>
        <v>P5</v>
      </c>
    </row>
  </sheetData>
  <phoneticPr fontId="1" type="noConversion"/>
  <pageMargins left="0.7" right="0.7" top="0.75" bottom="0.75" header="0.3" footer="0.3"/>
  <ignoredErrors>
    <ignoredError sqref="N3" formula="1"/>
  </ignoredErrors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E117-E962-4F13-A678-B788E551FA93}">
  <dimension ref="A1:H213"/>
  <sheetViews>
    <sheetView workbookViewId="0">
      <selection activeCell="A2" sqref="A2"/>
    </sheetView>
  </sheetViews>
  <sheetFormatPr defaultRowHeight="14.4" x14ac:dyDescent="0.3"/>
  <cols>
    <col min="1" max="1" width="12.109375" style="14" bestFit="1" customWidth="1"/>
    <col min="2" max="2" width="26.6640625" bestFit="1" customWidth="1"/>
    <col min="3" max="3" width="11.6640625" bestFit="1" customWidth="1"/>
    <col min="4" max="4" width="10.5546875" bestFit="1" customWidth="1"/>
    <col min="5" max="5" width="9.5546875" bestFit="1" customWidth="1"/>
    <col min="6" max="6" width="12.77734375" bestFit="1" customWidth="1"/>
    <col min="7" max="7" width="16.109375" bestFit="1" customWidth="1"/>
    <col min="8" max="8" width="22.6640625" bestFit="1" customWidth="1"/>
  </cols>
  <sheetData>
    <row r="1" spans="1:8" ht="15.6" x14ac:dyDescent="0.35">
      <c r="A1" s="13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ht="15.6" x14ac:dyDescent="0.35">
      <c r="A2" s="13">
        <v>42614</v>
      </c>
      <c r="B2" s="1" t="s">
        <v>62</v>
      </c>
      <c r="C2" s="1">
        <v>1</v>
      </c>
      <c r="D2" s="1">
        <v>134.97</v>
      </c>
      <c r="E2" s="1">
        <v>3</v>
      </c>
      <c r="F2" s="1">
        <v>44.99</v>
      </c>
      <c r="G2" s="1">
        <v>1</v>
      </c>
      <c r="H2" s="1">
        <v>100</v>
      </c>
    </row>
    <row r="3" spans="1:8" ht="15.6" x14ac:dyDescent="0.35">
      <c r="A3" s="13">
        <v>42644</v>
      </c>
      <c r="B3" s="1" t="s">
        <v>63</v>
      </c>
      <c r="C3" s="1">
        <v>49</v>
      </c>
      <c r="D3" s="1">
        <v>5690.5199999999959</v>
      </c>
      <c r="E3" s="1">
        <v>65</v>
      </c>
      <c r="F3" s="1">
        <v>87.546461538461472</v>
      </c>
      <c r="G3" s="1">
        <v>1</v>
      </c>
      <c r="H3" s="1">
        <v>14.11</v>
      </c>
    </row>
    <row r="4" spans="1:8" ht="15.6" x14ac:dyDescent="0.35">
      <c r="A4" s="13">
        <v>42644</v>
      </c>
      <c r="B4" s="1" t="s">
        <v>64</v>
      </c>
      <c r="C4" s="1">
        <v>26</v>
      </c>
      <c r="D4" s="1">
        <v>4829.1000000000004</v>
      </c>
      <c r="E4" s="1">
        <v>29</v>
      </c>
      <c r="F4" s="1">
        <v>166.52068965517242</v>
      </c>
      <c r="G4" s="1">
        <v>2</v>
      </c>
      <c r="H4" s="1">
        <v>11.98</v>
      </c>
    </row>
    <row r="5" spans="1:8" ht="15.6" x14ac:dyDescent="0.35">
      <c r="A5" s="13">
        <v>42644</v>
      </c>
      <c r="B5" s="1" t="s">
        <v>65</v>
      </c>
      <c r="C5" s="1">
        <v>22</v>
      </c>
      <c r="D5" s="1">
        <v>4106.5000000000009</v>
      </c>
      <c r="E5" s="1">
        <v>24</v>
      </c>
      <c r="F5" s="1">
        <v>171.10416666666671</v>
      </c>
      <c r="G5" s="1">
        <v>3</v>
      </c>
      <c r="H5" s="1">
        <v>10.18</v>
      </c>
    </row>
    <row r="6" spans="1:8" ht="15.6" x14ac:dyDescent="0.35">
      <c r="A6" s="13">
        <v>42644</v>
      </c>
      <c r="B6" s="1" t="s">
        <v>66</v>
      </c>
      <c r="C6" s="1">
        <v>7</v>
      </c>
      <c r="D6" s="1">
        <v>3619.3599999999997</v>
      </c>
      <c r="E6" s="1">
        <v>7</v>
      </c>
      <c r="F6" s="1">
        <v>517.05142857142857</v>
      </c>
      <c r="G6" s="1">
        <v>4</v>
      </c>
      <c r="H6" s="1">
        <v>8.98</v>
      </c>
    </row>
    <row r="7" spans="1:8" ht="15.6" x14ac:dyDescent="0.35">
      <c r="A7" s="13">
        <v>42644</v>
      </c>
      <c r="B7" s="1" t="s">
        <v>62</v>
      </c>
      <c r="C7" s="1">
        <v>36</v>
      </c>
      <c r="D7" s="1">
        <v>3439.2500000000009</v>
      </c>
      <c r="E7" s="1">
        <v>40</v>
      </c>
      <c r="F7" s="1">
        <v>85.981250000000017</v>
      </c>
      <c r="G7" s="1">
        <v>5</v>
      </c>
      <c r="H7" s="1">
        <v>8.5299999999999994</v>
      </c>
    </row>
    <row r="8" spans="1:8" ht="15.6" x14ac:dyDescent="0.35">
      <c r="A8" s="13">
        <v>42644</v>
      </c>
      <c r="B8" s="1" t="s">
        <v>67</v>
      </c>
      <c r="C8" s="1">
        <v>4</v>
      </c>
      <c r="D8" s="1">
        <v>2711.07</v>
      </c>
      <c r="E8" s="1">
        <v>4</v>
      </c>
      <c r="F8" s="1">
        <v>677.76750000000004</v>
      </c>
      <c r="G8" s="1">
        <v>6</v>
      </c>
      <c r="H8" s="1">
        <v>6.72</v>
      </c>
    </row>
    <row r="9" spans="1:8" ht="15.6" x14ac:dyDescent="0.35">
      <c r="A9" s="13">
        <v>42644</v>
      </c>
      <c r="B9" s="1" t="s">
        <v>68</v>
      </c>
      <c r="C9" s="1">
        <v>17</v>
      </c>
      <c r="D9" s="1">
        <v>2012.15</v>
      </c>
      <c r="E9" s="1">
        <v>17</v>
      </c>
      <c r="F9" s="1">
        <v>118.36176470588236</v>
      </c>
      <c r="G9" s="1">
        <v>7</v>
      </c>
      <c r="H9" s="1">
        <v>4.99</v>
      </c>
    </row>
    <row r="10" spans="1:8" ht="15.6" x14ac:dyDescent="0.35">
      <c r="A10" s="13">
        <v>42644</v>
      </c>
      <c r="B10" s="1" t="s">
        <v>69</v>
      </c>
      <c r="C10" s="1">
        <v>9</v>
      </c>
      <c r="D10" s="1">
        <v>1371.17</v>
      </c>
      <c r="E10" s="1">
        <v>11</v>
      </c>
      <c r="F10" s="1">
        <v>124.65181818181819</v>
      </c>
      <c r="G10" s="1">
        <v>8</v>
      </c>
      <c r="H10" s="1">
        <v>3.4</v>
      </c>
    </row>
    <row r="11" spans="1:8" ht="15.6" x14ac:dyDescent="0.35">
      <c r="A11" s="13">
        <v>42644</v>
      </c>
      <c r="B11" s="1" t="s">
        <v>70</v>
      </c>
      <c r="C11" s="1">
        <v>5</v>
      </c>
      <c r="D11" s="1">
        <v>1359.88</v>
      </c>
      <c r="E11" s="1">
        <v>5</v>
      </c>
      <c r="F11" s="1">
        <v>271.976</v>
      </c>
      <c r="G11" s="1">
        <v>9</v>
      </c>
      <c r="H11" s="1">
        <v>3.37</v>
      </c>
    </row>
    <row r="12" spans="1:8" ht="15.6" x14ac:dyDescent="0.35">
      <c r="A12" s="13">
        <v>42644</v>
      </c>
      <c r="B12" s="1" t="s">
        <v>71</v>
      </c>
      <c r="C12" s="1">
        <v>4</v>
      </c>
      <c r="D12" s="1">
        <v>1349.2900000000002</v>
      </c>
      <c r="E12" s="1">
        <v>8</v>
      </c>
      <c r="F12" s="1">
        <v>168.66125000000002</v>
      </c>
      <c r="G12" s="1">
        <v>10</v>
      </c>
      <c r="H12" s="1">
        <v>3.35</v>
      </c>
    </row>
    <row r="13" spans="1:8" ht="15.6" x14ac:dyDescent="0.35">
      <c r="A13" s="13">
        <v>42705</v>
      </c>
      <c r="B13" s="1" t="s">
        <v>72</v>
      </c>
      <c r="C13" s="1">
        <v>1</v>
      </c>
      <c r="D13" s="1">
        <v>10.9</v>
      </c>
      <c r="E13" s="1">
        <v>1</v>
      </c>
      <c r="F13" s="1">
        <v>10.9</v>
      </c>
      <c r="G13" s="1">
        <v>1</v>
      </c>
      <c r="H13" s="1">
        <v>100</v>
      </c>
    </row>
    <row r="14" spans="1:8" ht="15.6" x14ac:dyDescent="0.35">
      <c r="A14" s="13">
        <v>42736</v>
      </c>
      <c r="B14" s="1" t="s">
        <v>63</v>
      </c>
      <c r="C14" s="1">
        <v>132</v>
      </c>
      <c r="D14" s="1">
        <v>13036.629999999974</v>
      </c>
      <c r="E14" s="1">
        <v>177</v>
      </c>
      <c r="F14" s="1">
        <v>73.653276836158042</v>
      </c>
      <c r="G14" s="1">
        <v>1</v>
      </c>
      <c r="H14" s="1">
        <v>11.66</v>
      </c>
    </row>
    <row r="15" spans="1:8" ht="15.6" x14ac:dyDescent="0.35">
      <c r="A15" s="13">
        <v>42736</v>
      </c>
      <c r="B15" s="1" t="s">
        <v>62</v>
      </c>
      <c r="C15" s="1">
        <v>79</v>
      </c>
      <c r="D15" s="1">
        <v>12366.439999999991</v>
      </c>
      <c r="E15" s="1">
        <v>82</v>
      </c>
      <c r="F15" s="1">
        <v>150.81024390243891</v>
      </c>
      <c r="G15" s="1">
        <v>2</v>
      </c>
      <c r="H15" s="1">
        <v>11.06</v>
      </c>
    </row>
    <row r="16" spans="1:8" ht="15.6" x14ac:dyDescent="0.35">
      <c r="A16" s="13">
        <v>42736</v>
      </c>
      <c r="B16" s="1" t="s">
        <v>68</v>
      </c>
      <c r="C16" s="1">
        <v>57</v>
      </c>
      <c r="D16" s="1">
        <v>9212.1399999999958</v>
      </c>
      <c r="E16" s="1">
        <v>74</v>
      </c>
      <c r="F16" s="1">
        <v>124.48837837837831</v>
      </c>
      <c r="G16" s="1">
        <v>3</v>
      </c>
      <c r="H16" s="1">
        <v>8.24</v>
      </c>
    </row>
    <row r="17" spans="1:8" ht="15.6" x14ac:dyDescent="0.35">
      <c r="A17" s="13">
        <v>42736</v>
      </c>
      <c r="B17" s="1" t="s">
        <v>67</v>
      </c>
      <c r="C17" s="1">
        <v>11</v>
      </c>
      <c r="D17" s="1">
        <v>8086.52</v>
      </c>
      <c r="E17" s="1">
        <v>11</v>
      </c>
      <c r="F17" s="1">
        <v>735.13818181818181</v>
      </c>
      <c r="G17" s="1">
        <v>4</v>
      </c>
      <c r="H17" s="1">
        <v>7.23</v>
      </c>
    </row>
    <row r="18" spans="1:8" ht="15.6" x14ac:dyDescent="0.35">
      <c r="A18" s="13">
        <v>42736</v>
      </c>
      <c r="B18" s="1" t="s">
        <v>70</v>
      </c>
      <c r="C18" s="1">
        <v>36</v>
      </c>
      <c r="D18" s="1">
        <v>7466.9499999999953</v>
      </c>
      <c r="E18" s="1">
        <v>54</v>
      </c>
      <c r="F18" s="1">
        <v>138.27685185185177</v>
      </c>
      <c r="G18" s="1">
        <v>5</v>
      </c>
      <c r="H18" s="1">
        <v>6.68</v>
      </c>
    </row>
    <row r="19" spans="1:8" ht="15.6" x14ac:dyDescent="0.35">
      <c r="A19" s="13">
        <v>42736</v>
      </c>
      <c r="B19" s="1" t="s">
        <v>73</v>
      </c>
      <c r="C19" s="1">
        <v>30</v>
      </c>
      <c r="D19" s="1">
        <v>6856.87</v>
      </c>
      <c r="E19" s="1">
        <v>37</v>
      </c>
      <c r="F19" s="1">
        <v>185.3208108108108</v>
      </c>
      <c r="G19" s="1">
        <v>6</v>
      </c>
      <c r="H19" s="1">
        <v>6.13</v>
      </c>
    </row>
    <row r="20" spans="1:8" ht="15.6" x14ac:dyDescent="0.35">
      <c r="A20" s="13">
        <v>42736</v>
      </c>
      <c r="B20" s="1" t="s">
        <v>69</v>
      </c>
      <c r="C20" s="1">
        <v>31</v>
      </c>
      <c r="D20" s="1">
        <v>6217.880000000001</v>
      </c>
      <c r="E20" s="1">
        <v>40</v>
      </c>
      <c r="F20" s="1">
        <v>155.44700000000003</v>
      </c>
      <c r="G20" s="1">
        <v>7</v>
      </c>
      <c r="H20" s="1">
        <v>5.56</v>
      </c>
    </row>
    <row r="21" spans="1:8" ht="15.6" x14ac:dyDescent="0.35">
      <c r="A21" s="13">
        <v>42736</v>
      </c>
      <c r="B21" s="1" t="s">
        <v>64</v>
      </c>
      <c r="C21" s="1">
        <v>29</v>
      </c>
      <c r="D21" s="1">
        <v>5112.5999999999985</v>
      </c>
      <c r="E21" s="1">
        <v>34</v>
      </c>
      <c r="F21" s="1">
        <v>150.37058823529406</v>
      </c>
      <c r="G21" s="1">
        <v>8</v>
      </c>
      <c r="H21" s="1">
        <v>4.57</v>
      </c>
    </row>
    <row r="22" spans="1:8" ht="15.6" x14ac:dyDescent="0.35">
      <c r="A22" s="13">
        <v>42736</v>
      </c>
      <c r="B22" s="1" t="s">
        <v>74</v>
      </c>
      <c r="C22" s="1">
        <v>27</v>
      </c>
      <c r="D22" s="1">
        <v>4820.0299999999988</v>
      </c>
      <c r="E22" s="1">
        <v>31</v>
      </c>
      <c r="F22" s="1">
        <v>155.48483870967738</v>
      </c>
      <c r="G22" s="1">
        <v>9</v>
      </c>
      <c r="H22" s="1">
        <v>4.3099999999999996</v>
      </c>
    </row>
    <row r="23" spans="1:8" ht="15.6" x14ac:dyDescent="0.35">
      <c r="A23" s="13">
        <v>42736</v>
      </c>
      <c r="B23" s="1" t="s">
        <v>65</v>
      </c>
      <c r="C23" s="1">
        <v>41</v>
      </c>
      <c r="D23" s="1">
        <v>4568.1899999999978</v>
      </c>
      <c r="E23" s="1">
        <v>41</v>
      </c>
      <c r="F23" s="1">
        <v>111.41926829268287</v>
      </c>
      <c r="G23" s="1">
        <v>10</v>
      </c>
      <c r="H23" s="1">
        <v>4.09</v>
      </c>
    </row>
    <row r="24" spans="1:8" ht="15.6" x14ac:dyDescent="0.35">
      <c r="A24" s="13">
        <v>42767</v>
      </c>
      <c r="B24" s="1" t="s">
        <v>62</v>
      </c>
      <c r="C24" s="1">
        <v>143</v>
      </c>
      <c r="D24" s="1">
        <v>22059.920000000035</v>
      </c>
      <c r="E24" s="1">
        <v>154</v>
      </c>
      <c r="F24" s="1">
        <v>143.24623376623398</v>
      </c>
      <c r="G24" s="1">
        <v>1</v>
      </c>
      <c r="H24" s="1">
        <v>9.42</v>
      </c>
    </row>
    <row r="25" spans="1:8" ht="15.6" x14ac:dyDescent="0.35">
      <c r="A25" s="13">
        <v>42767</v>
      </c>
      <c r="B25" s="1" t="s">
        <v>63</v>
      </c>
      <c r="C25" s="1">
        <v>213</v>
      </c>
      <c r="D25" s="1">
        <v>19926.410000000003</v>
      </c>
      <c r="E25" s="1">
        <v>257</v>
      </c>
      <c r="F25" s="1">
        <v>77.534669260700397</v>
      </c>
      <c r="G25" s="1">
        <v>2</v>
      </c>
      <c r="H25" s="1">
        <v>8.51</v>
      </c>
    </row>
    <row r="26" spans="1:8" ht="15.6" x14ac:dyDescent="0.35">
      <c r="A26" s="13">
        <v>42767</v>
      </c>
      <c r="B26" s="1" t="s">
        <v>68</v>
      </c>
      <c r="C26" s="1">
        <v>134</v>
      </c>
      <c r="D26" s="1">
        <v>15629.979999999987</v>
      </c>
      <c r="E26" s="1">
        <v>149</v>
      </c>
      <c r="F26" s="1">
        <v>104.8991946308724</v>
      </c>
      <c r="G26" s="1">
        <v>3</v>
      </c>
      <c r="H26" s="1">
        <v>6.67</v>
      </c>
    </row>
    <row r="27" spans="1:8" ht="15.6" x14ac:dyDescent="0.35">
      <c r="A27" s="13">
        <v>42767</v>
      </c>
      <c r="B27" s="1" t="s">
        <v>75</v>
      </c>
      <c r="C27" s="1">
        <v>140</v>
      </c>
      <c r="D27" s="1">
        <v>15572.12999999997</v>
      </c>
      <c r="E27" s="1">
        <v>157</v>
      </c>
      <c r="F27" s="1">
        <v>99.185541401273696</v>
      </c>
      <c r="G27" s="1">
        <v>4</v>
      </c>
      <c r="H27" s="1">
        <v>6.65</v>
      </c>
    </row>
    <row r="28" spans="1:8" ht="15.6" x14ac:dyDescent="0.35">
      <c r="A28" s="13">
        <v>42767</v>
      </c>
      <c r="B28" s="1" t="s">
        <v>73</v>
      </c>
      <c r="C28" s="1">
        <v>68</v>
      </c>
      <c r="D28" s="1">
        <v>12454.599999999988</v>
      </c>
      <c r="E28" s="1">
        <v>69</v>
      </c>
      <c r="F28" s="1">
        <v>180.50144927536215</v>
      </c>
      <c r="G28" s="1">
        <v>5</v>
      </c>
      <c r="H28" s="1">
        <v>5.32</v>
      </c>
    </row>
    <row r="29" spans="1:8" ht="15.6" x14ac:dyDescent="0.35">
      <c r="A29" s="13">
        <v>42767</v>
      </c>
      <c r="B29" s="1" t="s">
        <v>74</v>
      </c>
      <c r="C29" s="1">
        <v>75</v>
      </c>
      <c r="D29" s="1">
        <v>12358.779999999988</v>
      </c>
      <c r="E29" s="1">
        <v>83</v>
      </c>
      <c r="F29" s="1">
        <v>148.90096385542154</v>
      </c>
      <c r="G29" s="1">
        <v>6</v>
      </c>
      <c r="H29" s="1">
        <v>5.28</v>
      </c>
    </row>
    <row r="30" spans="1:8" ht="15.6" x14ac:dyDescent="0.35">
      <c r="A30" s="13">
        <v>42767</v>
      </c>
      <c r="B30" s="1" t="s">
        <v>70</v>
      </c>
      <c r="C30" s="1">
        <v>60</v>
      </c>
      <c r="D30" s="1">
        <v>11734.619999999999</v>
      </c>
      <c r="E30" s="1">
        <v>69</v>
      </c>
      <c r="F30" s="1">
        <v>170.06695652173912</v>
      </c>
      <c r="G30" s="1">
        <v>7</v>
      </c>
      <c r="H30" s="1">
        <v>5.01</v>
      </c>
    </row>
    <row r="31" spans="1:8" ht="15.6" x14ac:dyDescent="0.35">
      <c r="A31" s="13">
        <v>42767</v>
      </c>
      <c r="B31" s="1" t="s">
        <v>76</v>
      </c>
      <c r="C31" s="1">
        <v>92</v>
      </c>
      <c r="D31" s="1">
        <v>11319.089999999991</v>
      </c>
      <c r="E31" s="1">
        <v>100</v>
      </c>
      <c r="F31" s="1">
        <v>113.19089999999991</v>
      </c>
      <c r="G31" s="1">
        <v>8</v>
      </c>
      <c r="H31" s="1">
        <v>4.83</v>
      </c>
    </row>
    <row r="32" spans="1:8" ht="15.6" x14ac:dyDescent="0.35">
      <c r="A32" s="13">
        <v>42767</v>
      </c>
      <c r="B32" s="1" t="s">
        <v>77</v>
      </c>
      <c r="C32" s="1">
        <v>61</v>
      </c>
      <c r="D32" s="1">
        <v>11295.339999999989</v>
      </c>
      <c r="E32" s="1">
        <v>69</v>
      </c>
      <c r="F32" s="1">
        <v>163.70057971014478</v>
      </c>
      <c r="G32" s="1">
        <v>9</v>
      </c>
      <c r="H32" s="1">
        <v>4.82</v>
      </c>
    </row>
    <row r="33" spans="1:8" ht="15.6" x14ac:dyDescent="0.35">
      <c r="A33" s="13">
        <v>42767</v>
      </c>
      <c r="B33" s="1" t="s">
        <v>67</v>
      </c>
      <c r="C33" s="1">
        <v>32</v>
      </c>
      <c r="D33" s="1">
        <v>10992.389999999998</v>
      </c>
      <c r="E33" s="1">
        <v>33</v>
      </c>
      <c r="F33" s="1">
        <v>333.10272727272718</v>
      </c>
      <c r="G33" s="1">
        <v>10</v>
      </c>
      <c r="H33" s="1">
        <v>4.6900000000000004</v>
      </c>
    </row>
    <row r="34" spans="1:8" ht="15.6" x14ac:dyDescent="0.35">
      <c r="A34" s="13">
        <v>42795</v>
      </c>
      <c r="B34" s="1" t="s">
        <v>76</v>
      </c>
      <c r="C34" s="1">
        <v>147</v>
      </c>
      <c r="D34" s="1">
        <v>28078.800000000007</v>
      </c>
      <c r="E34" s="1">
        <v>171</v>
      </c>
      <c r="F34" s="1">
        <v>164.20350877192988</v>
      </c>
      <c r="G34" s="1">
        <v>1</v>
      </c>
      <c r="H34" s="1">
        <v>7.82</v>
      </c>
    </row>
    <row r="35" spans="1:8" ht="15.6" x14ac:dyDescent="0.35">
      <c r="A35" s="13">
        <v>42795</v>
      </c>
      <c r="B35" s="1" t="s">
        <v>62</v>
      </c>
      <c r="C35" s="1">
        <v>190</v>
      </c>
      <c r="D35" s="1">
        <v>25652.450000000055</v>
      </c>
      <c r="E35" s="1">
        <v>208</v>
      </c>
      <c r="F35" s="1">
        <v>123.32908653846181</v>
      </c>
      <c r="G35" s="1">
        <v>2</v>
      </c>
      <c r="H35" s="1">
        <v>7.14</v>
      </c>
    </row>
    <row r="36" spans="1:8" ht="15.6" x14ac:dyDescent="0.35">
      <c r="A36" s="13">
        <v>42795</v>
      </c>
      <c r="B36" s="1" t="s">
        <v>68</v>
      </c>
      <c r="C36" s="1">
        <v>164</v>
      </c>
      <c r="D36" s="1">
        <v>25472.890000000054</v>
      </c>
      <c r="E36" s="1">
        <v>190</v>
      </c>
      <c r="F36" s="1">
        <v>134.06784210526345</v>
      </c>
      <c r="G36" s="1">
        <v>3</v>
      </c>
      <c r="H36" s="1">
        <v>7.09</v>
      </c>
    </row>
    <row r="37" spans="1:8" ht="15.6" x14ac:dyDescent="0.35">
      <c r="A37" s="13">
        <v>42795</v>
      </c>
      <c r="B37" s="1" t="s">
        <v>75</v>
      </c>
      <c r="C37" s="1">
        <v>239</v>
      </c>
      <c r="D37" s="1">
        <v>25120.02000000007</v>
      </c>
      <c r="E37" s="1">
        <v>279</v>
      </c>
      <c r="F37" s="1">
        <v>90.035913978494875</v>
      </c>
      <c r="G37" s="1">
        <v>4</v>
      </c>
      <c r="H37" s="1">
        <v>6.99</v>
      </c>
    </row>
    <row r="38" spans="1:8" ht="15.6" x14ac:dyDescent="0.35">
      <c r="A38" s="13">
        <v>42795</v>
      </c>
      <c r="B38" s="1" t="s">
        <v>67</v>
      </c>
      <c r="C38" s="1">
        <v>74</v>
      </c>
      <c r="D38" s="1">
        <v>24892.380000000005</v>
      </c>
      <c r="E38" s="1">
        <v>79</v>
      </c>
      <c r="F38" s="1">
        <v>315.09341772151907</v>
      </c>
      <c r="G38" s="1">
        <v>5</v>
      </c>
      <c r="H38" s="1">
        <v>6.93</v>
      </c>
    </row>
    <row r="39" spans="1:8" ht="15.6" x14ac:dyDescent="0.35">
      <c r="A39" s="13">
        <v>42795</v>
      </c>
      <c r="B39" s="1" t="s">
        <v>70</v>
      </c>
      <c r="C39" s="1">
        <v>117</v>
      </c>
      <c r="D39" s="1">
        <v>23508.760000000017</v>
      </c>
      <c r="E39" s="1">
        <v>146</v>
      </c>
      <c r="F39" s="1">
        <v>161.01890410958916</v>
      </c>
      <c r="G39" s="1">
        <v>6</v>
      </c>
      <c r="H39" s="1">
        <v>6.54</v>
      </c>
    </row>
    <row r="40" spans="1:8" ht="15.6" x14ac:dyDescent="0.35">
      <c r="A40" s="13">
        <v>42795</v>
      </c>
      <c r="B40" s="1" t="s">
        <v>63</v>
      </c>
      <c r="C40" s="1">
        <v>253</v>
      </c>
      <c r="D40" s="1">
        <v>22133.470000000041</v>
      </c>
      <c r="E40" s="1">
        <v>315</v>
      </c>
      <c r="F40" s="1">
        <v>70.26498412698426</v>
      </c>
      <c r="G40" s="1">
        <v>7</v>
      </c>
      <c r="H40" s="1">
        <v>6.16</v>
      </c>
    </row>
    <row r="41" spans="1:8" ht="15.6" x14ac:dyDescent="0.35">
      <c r="A41" s="13">
        <v>42795</v>
      </c>
      <c r="B41" s="1" t="s">
        <v>73</v>
      </c>
      <c r="C41" s="1">
        <v>116</v>
      </c>
      <c r="D41" s="1">
        <v>20583.330000000009</v>
      </c>
      <c r="E41" s="1">
        <v>118</v>
      </c>
      <c r="F41" s="1">
        <v>174.43500000000009</v>
      </c>
      <c r="G41" s="1">
        <v>8</v>
      </c>
      <c r="H41" s="1">
        <v>5.73</v>
      </c>
    </row>
    <row r="42" spans="1:8" ht="15.6" x14ac:dyDescent="0.35">
      <c r="A42" s="13">
        <v>42795</v>
      </c>
      <c r="B42" s="1" t="s">
        <v>64</v>
      </c>
      <c r="C42" s="1">
        <v>103</v>
      </c>
      <c r="D42" s="1">
        <v>19608.140000000025</v>
      </c>
      <c r="E42" s="1">
        <v>105</v>
      </c>
      <c r="F42" s="1">
        <v>186.74419047619071</v>
      </c>
      <c r="G42" s="1">
        <v>9</v>
      </c>
      <c r="H42" s="1">
        <v>5.46</v>
      </c>
    </row>
    <row r="43" spans="1:8" ht="15.6" x14ac:dyDescent="0.35">
      <c r="A43" s="13">
        <v>42795</v>
      </c>
      <c r="B43" s="1" t="s">
        <v>74</v>
      </c>
      <c r="C43" s="1">
        <v>67</v>
      </c>
      <c r="D43" s="1">
        <v>13272.929999999993</v>
      </c>
      <c r="E43" s="1">
        <v>78</v>
      </c>
      <c r="F43" s="1">
        <v>170.16576923076914</v>
      </c>
      <c r="G43" s="1">
        <v>10</v>
      </c>
      <c r="H43" s="1">
        <v>3.7</v>
      </c>
    </row>
    <row r="44" spans="1:8" ht="15.6" x14ac:dyDescent="0.35">
      <c r="A44" s="13">
        <v>42826</v>
      </c>
      <c r="B44" s="1" t="s">
        <v>75</v>
      </c>
      <c r="C44" s="1">
        <v>231</v>
      </c>
      <c r="D44" s="1">
        <v>24092.890000000039</v>
      </c>
      <c r="E44" s="1">
        <v>271</v>
      </c>
      <c r="F44" s="1">
        <v>88.903653136531517</v>
      </c>
      <c r="G44" s="1">
        <v>1</v>
      </c>
      <c r="H44" s="1">
        <v>7.07</v>
      </c>
    </row>
    <row r="45" spans="1:8" ht="15.6" x14ac:dyDescent="0.35">
      <c r="A45" s="13">
        <v>42826</v>
      </c>
      <c r="B45" s="1" t="s">
        <v>67</v>
      </c>
      <c r="C45" s="1">
        <v>88</v>
      </c>
      <c r="D45" s="1">
        <v>23336.090000000004</v>
      </c>
      <c r="E45" s="1">
        <v>95</v>
      </c>
      <c r="F45" s="1">
        <v>245.643052631579</v>
      </c>
      <c r="G45" s="1">
        <v>2</v>
      </c>
      <c r="H45" s="1">
        <v>6.85</v>
      </c>
    </row>
    <row r="46" spans="1:8" ht="15.6" x14ac:dyDescent="0.35">
      <c r="A46" s="13">
        <v>42826</v>
      </c>
      <c r="B46" s="1" t="s">
        <v>78</v>
      </c>
      <c r="C46" s="1">
        <v>20</v>
      </c>
      <c r="D46" s="1">
        <v>23114.98</v>
      </c>
      <c r="E46" s="1">
        <v>20</v>
      </c>
      <c r="F46" s="1">
        <v>1155.749</v>
      </c>
      <c r="G46" s="1">
        <v>3</v>
      </c>
      <c r="H46" s="1">
        <v>6.79</v>
      </c>
    </row>
    <row r="47" spans="1:8" ht="15.6" x14ac:dyDescent="0.35">
      <c r="A47" s="13">
        <v>42826</v>
      </c>
      <c r="B47" s="1" t="s">
        <v>68</v>
      </c>
      <c r="C47" s="1">
        <v>184</v>
      </c>
      <c r="D47" s="1">
        <v>22997.060000000045</v>
      </c>
      <c r="E47" s="1">
        <v>203</v>
      </c>
      <c r="F47" s="1">
        <v>113.28600985221696</v>
      </c>
      <c r="G47" s="1">
        <v>4</v>
      </c>
      <c r="H47" s="1">
        <v>6.75</v>
      </c>
    </row>
    <row r="48" spans="1:8" ht="15.6" x14ac:dyDescent="0.35">
      <c r="A48" s="13">
        <v>42826</v>
      </c>
      <c r="B48" s="1" t="s">
        <v>62</v>
      </c>
      <c r="C48" s="1">
        <v>168</v>
      </c>
      <c r="D48" s="1">
        <v>22156.340000000029</v>
      </c>
      <c r="E48" s="1">
        <v>180</v>
      </c>
      <c r="F48" s="1">
        <v>123.09077777777794</v>
      </c>
      <c r="G48" s="1">
        <v>5</v>
      </c>
      <c r="H48" s="1">
        <v>6.5</v>
      </c>
    </row>
    <row r="49" spans="1:8" ht="15.6" x14ac:dyDescent="0.35">
      <c r="A49" s="13">
        <v>42826</v>
      </c>
      <c r="B49" s="1" t="s">
        <v>73</v>
      </c>
      <c r="C49" s="1">
        <v>112</v>
      </c>
      <c r="D49" s="1">
        <v>20902.390000000018</v>
      </c>
      <c r="E49" s="1">
        <v>114</v>
      </c>
      <c r="F49" s="1">
        <v>183.35429824561419</v>
      </c>
      <c r="G49" s="1">
        <v>6</v>
      </c>
      <c r="H49" s="1">
        <v>6.14</v>
      </c>
    </row>
    <row r="50" spans="1:8" ht="15.6" x14ac:dyDescent="0.35">
      <c r="A50" s="13">
        <v>42826</v>
      </c>
      <c r="B50" s="1" t="s">
        <v>64</v>
      </c>
      <c r="C50" s="1">
        <v>97</v>
      </c>
      <c r="D50" s="1">
        <v>19436.509999999995</v>
      </c>
      <c r="E50" s="1">
        <v>101</v>
      </c>
      <c r="F50" s="1">
        <v>192.44069306930689</v>
      </c>
      <c r="G50" s="1">
        <v>7</v>
      </c>
      <c r="H50" s="1">
        <v>5.71</v>
      </c>
    </row>
    <row r="51" spans="1:8" ht="15.6" x14ac:dyDescent="0.35">
      <c r="A51" s="13">
        <v>42826</v>
      </c>
      <c r="B51" s="1" t="s">
        <v>63</v>
      </c>
      <c r="C51" s="1">
        <v>162</v>
      </c>
      <c r="D51" s="1">
        <v>19211.229999999981</v>
      </c>
      <c r="E51" s="1">
        <v>191</v>
      </c>
      <c r="F51" s="1">
        <v>100.58235602094231</v>
      </c>
      <c r="G51" s="1">
        <v>8</v>
      </c>
      <c r="H51" s="1">
        <v>5.64</v>
      </c>
    </row>
    <row r="52" spans="1:8" ht="15.6" x14ac:dyDescent="0.35">
      <c r="A52" s="13">
        <v>42826</v>
      </c>
      <c r="B52" s="1" t="s">
        <v>76</v>
      </c>
      <c r="C52" s="1">
        <v>116</v>
      </c>
      <c r="D52" s="1">
        <v>18353.459999999988</v>
      </c>
      <c r="E52" s="1">
        <v>132</v>
      </c>
      <c r="F52" s="1">
        <v>139.04136363636354</v>
      </c>
      <c r="G52" s="1">
        <v>9</v>
      </c>
      <c r="H52" s="1">
        <v>5.39</v>
      </c>
    </row>
    <row r="53" spans="1:8" ht="15.6" x14ac:dyDescent="0.35">
      <c r="A53" s="13">
        <v>42826</v>
      </c>
      <c r="B53" s="1" t="s">
        <v>70</v>
      </c>
      <c r="C53" s="1">
        <v>93</v>
      </c>
      <c r="D53" s="1">
        <v>17648.929999999989</v>
      </c>
      <c r="E53" s="1">
        <v>108</v>
      </c>
      <c r="F53" s="1">
        <v>163.41601851851843</v>
      </c>
      <c r="G53" s="1">
        <v>10</v>
      </c>
      <c r="H53" s="1">
        <v>5.18</v>
      </c>
    </row>
    <row r="54" spans="1:8" ht="15.6" x14ac:dyDescent="0.35">
      <c r="A54" s="13">
        <v>42856</v>
      </c>
      <c r="B54" s="1" t="s">
        <v>62</v>
      </c>
      <c r="C54" s="1">
        <v>261</v>
      </c>
      <c r="D54" s="1">
        <v>46340.060000000092</v>
      </c>
      <c r="E54" s="1">
        <v>284</v>
      </c>
      <c r="F54" s="1">
        <v>163.16922535211299</v>
      </c>
      <c r="G54" s="1">
        <v>1</v>
      </c>
      <c r="H54" s="1">
        <v>9.4700000000000006</v>
      </c>
    </row>
    <row r="55" spans="1:8" ht="15.6" x14ac:dyDescent="0.35">
      <c r="A55" s="13">
        <v>42856</v>
      </c>
      <c r="B55" s="1" t="s">
        <v>76</v>
      </c>
      <c r="C55" s="1">
        <v>253</v>
      </c>
      <c r="D55" s="1">
        <v>44759.390000000145</v>
      </c>
      <c r="E55" s="1">
        <v>309</v>
      </c>
      <c r="F55" s="1">
        <v>144.85239482200694</v>
      </c>
      <c r="G55" s="1">
        <v>2</v>
      </c>
      <c r="H55" s="1">
        <v>9.15</v>
      </c>
    </row>
    <row r="56" spans="1:8" ht="15.6" x14ac:dyDescent="0.35">
      <c r="A56" s="13">
        <v>42856</v>
      </c>
      <c r="B56" s="1" t="s">
        <v>67</v>
      </c>
      <c r="C56" s="1">
        <v>120</v>
      </c>
      <c r="D56" s="1">
        <v>36619.480000000018</v>
      </c>
      <c r="E56" s="1">
        <v>129</v>
      </c>
      <c r="F56" s="1">
        <v>283.87193798449624</v>
      </c>
      <c r="G56" s="1">
        <v>3</v>
      </c>
      <c r="H56" s="1">
        <v>7.48</v>
      </c>
    </row>
    <row r="57" spans="1:8" ht="15.6" x14ac:dyDescent="0.35">
      <c r="A57" s="13">
        <v>42856</v>
      </c>
      <c r="B57" s="1" t="s">
        <v>68</v>
      </c>
      <c r="C57" s="1">
        <v>256</v>
      </c>
      <c r="D57" s="1">
        <v>34101.730000000091</v>
      </c>
      <c r="E57" s="1">
        <v>305</v>
      </c>
      <c r="F57" s="1">
        <v>111.80895081967243</v>
      </c>
      <c r="G57" s="1">
        <v>4</v>
      </c>
      <c r="H57" s="1">
        <v>6.97</v>
      </c>
    </row>
    <row r="58" spans="1:8" ht="15.6" x14ac:dyDescent="0.35">
      <c r="A58" s="13">
        <v>42856</v>
      </c>
      <c r="B58" s="1" t="s">
        <v>75</v>
      </c>
      <c r="C58" s="1">
        <v>323</v>
      </c>
      <c r="D58" s="1">
        <v>32684.600000000155</v>
      </c>
      <c r="E58" s="1">
        <v>361</v>
      </c>
      <c r="F58" s="1">
        <v>90.53905817174558</v>
      </c>
      <c r="G58" s="1">
        <v>5</v>
      </c>
      <c r="H58" s="1">
        <v>6.68</v>
      </c>
    </row>
    <row r="59" spans="1:8" ht="15.6" x14ac:dyDescent="0.35">
      <c r="A59" s="13">
        <v>42856</v>
      </c>
      <c r="B59" s="1" t="s">
        <v>73</v>
      </c>
      <c r="C59" s="1">
        <v>230</v>
      </c>
      <c r="D59" s="1">
        <v>32481.600000000151</v>
      </c>
      <c r="E59" s="1">
        <v>241</v>
      </c>
      <c r="F59" s="1">
        <v>134.77842323651515</v>
      </c>
      <c r="G59" s="1">
        <v>6</v>
      </c>
      <c r="H59" s="1">
        <v>6.64</v>
      </c>
    </row>
    <row r="60" spans="1:8" ht="15.6" x14ac:dyDescent="0.35">
      <c r="A60" s="13">
        <v>42856</v>
      </c>
      <c r="B60" s="1" t="s">
        <v>63</v>
      </c>
      <c r="C60" s="1">
        <v>226</v>
      </c>
      <c r="D60" s="1">
        <v>22312.540000000052</v>
      </c>
      <c r="E60" s="1">
        <v>271</v>
      </c>
      <c r="F60" s="1">
        <v>82.3340959409596</v>
      </c>
      <c r="G60" s="1">
        <v>7</v>
      </c>
      <c r="H60" s="1">
        <v>4.5599999999999996</v>
      </c>
    </row>
    <row r="61" spans="1:8" ht="15.6" x14ac:dyDescent="0.35">
      <c r="A61" s="13">
        <v>42856</v>
      </c>
      <c r="B61" s="1" t="s">
        <v>65</v>
      </c>
      <c r="C61" s="1">
        <v>192</v>
      </c>
      <c r="D61" s="1">
        <v>22179.250000000044</v>
      </c>
      <c r="E61" s="1">
        <v>196</v>
      </c>
      <c r="F61" s="1">
        <v>113.15943877551042</v>
      </c>
      <c r="G61" s="1">
        <v>8</v>
      </c>
      <c r="H61" s="1">
        <v>4.53</v>
      </c>
    </row>
    <row r="62" spans="1:8" ht="15.6" x14ac:dyDescent="0.35">
      <c r="A62" s="13">
        <v>42856</v>
      </c>
      <c r="B62" s="1" t="s">
        <v>77</v>
      </c>
      <c r="C62" s="1">
        <v>259</v>
      </c>
      <c r="D62" s="1">
        <v>21374.900000000045</v>
      </c>
      <c r="E62" s="1">
        <v>302</v>
      </c>
      <c r="F62" s="1">
        <v>70.777814569536574</v>
      </c>
      <c r="G62" s="1">
        <v>9</v>
      </c>
      <c r="H62" s="1">
        <v>4.37</v>
      </c>
    </row>
    <row r="63" spans="1:8" ht="15.6" x14ac:dyDescent="0.35">
      <c r="A63" s="13">
        <v>42856</v>
      </c>
      <c r="B63" s="1" t="s">
        <v>70</v>
      </c>
      <c r="C63" s="1">
        <v>121</v>
      </c>
      <c r="D63" s="1">
        <v>20372.570000000007</v>
      </c>
      <c r="E63" s="1">
        <v>138</v>
      </c>
      <c r="F63" s="1">
        <v>147.62731884057976</v>
      </c>
      <c r="G63" s="1">
        <v>10</v>
      </c>
      <c r="H63" s="1">
        <v>4.16</v>
      </c>
    </row>
    <row r="64" spans="1:8" ht="15.6" x14ac:dyDescent="0.35">
      <c r="A64" s="13">
        <v>42887</v>
      </c>
      <c r="B64" s="1" t="s">
        <v>73</v>
      </c>
      <c r="C64" s="1">
        <v>195</v>
      </c>
      <c r="D64" s="1">
        <v>38109.610000000073</v>
      </c>
      <c r="E64" s="1">
        <v>199</v>
      </c>
      <c r="F64" s="1">
        <v>191.50557788944761</v>
      </c>
      <c r="G64" s="1">
        <v>1</v>
      </c>
      <c r="H64" s="1">
        <v>9.0299999999999994</v>
      </c>
    </row>
    <row r="65" spans="1:8" ht="15.6" x14ac:dyDescent="0.35">
      <c r="A65" s="13">
        <v>42887</v>
      </c>
      <c r="B65" s="1" t="s">
        <v>76</v>
      </c>
      <c r="C65" s="1">
        <v>212</v>
      </c>
      <c r="D65" s="1">
        <v>36193.70000000007</v>
      </c>
      <c r="E65" s="1">
        <v>254</v>
      </c>
      <c r="F65" s="1">
        <v>142.49488188976406</v>
      </c>
      <c r="G65" s="1">
        <v>2</v>
      </c>
      <c r="H65" s="1">
        <v>8.58</v>
      </c>
    </row>
    <row r="66" spans="1:8" ht="15.6" x14ac:dyDescent="0.35">
      <c r="A66" s="13">
        <v>42887</v>
      </c>
      <c r="B66" s="1" t="s">
        <v>75</v>
      </c>
      <c r="C66" s="1">
        <v>324</v>
      </c>
      <c r="D66" s="1">
        <v>33803.230000000207</v>
      </c>
      <c r="E66" s="1">
        <v>369</v>
      </c>
      <c r="F66" s="1">
        <v>91.607669376694332</v>
      </c>
      <c r="G66" s="1">
        <v>3</v>
      </c>
      <c r="H66" s="1">
        <v>8.01</v>
      </c>
    </row>
    <row r="67" spans="1:8" ht="15.6" x14ac:dyDescent="0.35">
      <c r="A67" s="13">
        <v>42887</v>
      </c>
      <c r="B67" s="1" t="s">
        <v>68</v>
      </c>
      <c r="C67" s="1">
        <v>245</v>
      </c>
      <c r="D67" s="1">
        <v>32066.930000000084</v>
      </c>
      <c r="E67" s="1">
        <v>269</v>
      </c>
      <c r="F67" s="1">
        <v>119.20791821561369</v>
      </c>
      <c r="G67" s="1">
        <v>4</v>
      </c>
      <c r="H67" s="1">
        <v>7.6</v>
      </c>
    </row>
    <row r="68" spans="1:8" ht="15.6" x14ac:dyDescent="0.35">
      <c r="A68" s="13">
        <v>42887</v>
      </c>
      <c r="B68" s="1" t="s">
        <v>62</v>
      </c>
      <c r="C68" s="1">
        <v>233</v>
      </c>
      <c r="D68" s="1">
        <v>31676.810000000129</v>
      </c>
      <c r="E68" s="1">
        <v>254</v>
      </c>
      <c r="F68" s="1">
        <v>124.7118503937013</v>
      </c>
      <c r="G68" s="1">
        <v>5</v>
      </c>
      <c r="H68" s="1">
        <v>7.51</v>
      </c>
    </row>
    <row r="69" spans="1:8" ht="15.6" x14ac:dyDescent="0.35">
      <c r="A69" s="13">
        <v>42887</v>
      </c>
      <c r="B69" s="1" t="s">
        <v>74</v>
      </c>
      <c r="C69" s="1">
        <v>101</v>
      </c>
      <c r="D69" s="1">
        <v>29335.710000000043</v>
      </c>
      <c r="E69" s="1">
        <v>110</v>
      </c>
      <c r="F69" s="1">
        <v>266.6882727272731</v>
      </c>
      <c r="G69" s="1">
        <v>6</v>
      </c>
      <c r="H69" s="1">
        <v>6.95</v>
      </c>
    </row>
    <row r="70" spans="1:8" ht="15.6" x14ac:dyDescent="0.35">
      <c r="A70" s="13">
        <v>42887</v>
      </c>
      <c r="B70" s="1" t="s">
        <v>67</v>
      </c>
      <c r="C70" s="1">
        <v>113</v>
      </c>
      <c r="D70" s="1">
        <v>27337.630000000026</v>
      </c>
      <c r="E70" s="1">
        <v>119</v>
      </c>
      <c r="F70" s="1">
        <v>229.72798319327754</v>
      </c>
      <c r="G70" s="1">
        <v>7</v>
      </c>
      <c r="H70" s="1">
        <v>6.48</v>
      </c>
    </row>
    <row r="71" spans="1:8" ht="15.6" x14ac:dyDescent="0.35">
      <c r="A71" s="13">
        <v>42887</v>
      </c>
      <c r="B71" s="1" t="s">
        <v>64</v>
      </c>
      <c r="C71" s="1">
        <v>140</v>
      </c>
      <c r="D71" s="1">
        <v>23954.320000000029</v>
      </c>
      <c r="E71" s="1">
        <v>148</v>
      </c>
      <c r="F71" s="1">
        <v>161.85351351351372</v>
      </c>
      <c r="G71" s="1">
        <v>8</v>
      </c>
      <c r="H71" s="1">
        <v>5.68</v>
      </c>
    </row>
    <row r="72" spans="1:8" ht="15.6" x14ac:dyDescent="0.35">
      <c r="A72" s="13">
        <v>42887</v>
      </c>
      <c r="B72" s="1" t="s">
        <v>77</v>
      </c>
      <c r="C72" s="1">
        <v>280</v>
      </c>
      <c r="D72" s="1">
        <v>22978.210000000036</v>
      </c>
      <c r="E72" s="1">
        <v>321</v>
      </c>
      <c r="F72" s="1">
        <v>71.583208722741546</v>
      </c>
      <c r="G72" s="1">
        <v>9</v>
      </c>
      <c r="H72" s="1">
        <v>5.45</v>
      </c>
    </row>
    <row r="73" spans="1:8" ht="15.6" x14ac:dyDescent="0.35">
      <c r="A73" s="13">
        <v>42887</v>
      </c>
      <c r="B73" s="1" t="s">
        <v>63</v>
      </c>
      <c r="C73" s="1">
        <v>177</v>
      </c>
      <c r="D73" s="1">
        <v>16614.289999999964</v>
      </c>
      <c r="E73" s="1">
        <v>230</v>
      </c>
      <c r="F73" s="1">
        <v>72.236043478260711</v>
      </c>
      <c r="G73" s="1">
        <v>10</v>
      </c>
      <c r="H73" s="1">
        <v>3.94</v>
      </c>
    </row>
    <row r="74" spans="1:8" ht="15.6" x14ac:dyDescent="0.35">
      <c r="A74" s="13">
        <v>42917</v>
      </c>
      <c r="B74" s="1" t="s">
        <v>75</v>
      </c>
      <c r="C74" s="1">
        <v>503</v>
      </c>
      <c r="D74" s="1">
        <v>62786.960000000297</v>
      </c>
      <c r="E74" s="1">
        <v>569</v>
      </c>
      <c r="F74" s="1">
        <v>110.34615114235554</v>
      </c>
      <c r="G74" s="1">
        <v>1</v>
      </c>
      <c r="H74" s="1">
        <v>13.04</v>
      </c>
    </row>
    <row r="75" spans="1:8" ht="15.6" x14ac:dyDescent="0.35">
      <c r="A75" s="13">
        <v>42917</v>
      </c>
      <c r="B75" s="1" t="s">
        <v>76</v>
      </c>
      <c r="C75" s="1">
        <v>268</v>
      </c>
      <c r="D75" s="1">
        <v>38176.220000000103</v>
      </c>
      <c r="E75" s="1">
        <v>320</v>
      </c>
      <c r="F75" s="1">
        <v>119.30068750000032</v>
      </c>
      <c r="G75" s="1">
        <v>2</v>
      </c>
      <c r="H75" s="1">
        <v>7.93</v>
      </c>
    </row>
    <row r="76" spans="1:8" ht="15.6" x14ac:dyDescent="0.35">
      <c r="A76" s="13">
        <v>42917</v>
      </c>
      <c r="B76" s="1" t="s">
        <v>73</v>
      </c>
      <c r="C76" s="1">
        <v>220</v>
      </c>
      <c r="D76" s="1">
        <v>36653.460000000021</v>
      </c>
      <c r="E76" s="1">
        <v>228</v>
      </c>
      <c r="F76" s="1">
        <v>160.7607894736843</v>
      </c>
      <c r="G76" s="1">
        <v>3</v>
      </c>
      <c r="H76" s="1">
        <v>7.61</v>
      </c>
    </row>
    <row r="77" spans="1:8" ht="15.6" x14ac:dyDescent="0.35">
      <c r="A77" s="13">
        <v>42917</v>
      </c>
      <c r="B77" s="1" t="s">
        <v>68</v>
      </c>
      <c r="C77" s="1">
        <v>327</v>
      </c>
      <c r="D77" s="1">
        <v>36618.830000000162</v>
      </c>
      <c r="E77" s="1">
        <v>375</v>
      </c>
      <c r="F77" s="1">
        <v>97.650213333333767</v>
      </c>
      <c r="G77" s="1">
        <v>4</v>
      </c>
      <c r="H77" s="1">
        <v>7.6</v>
      </c>
    </row>
    <row r="78" spans="1:8" ht="15.6" x14ac:dyDescent="0.35">
      <c r="A78" s="13">
        <v>42917</v>
      </c>
      <c r="B78" s="1" t="s">
        <v>62</v>
      </c>
      <c r="C78" s="1">
        <v>270</v>
      </c>
      <c r="D78" s="1">
        <v>34239.450000000106</v>
      </c>
      <c r="E78" s="1">
        <v>308</v>
      </c>
      <c r="F78" s="1">
        <v>111.1670454545458</v>
      </c>
      <c r="G78" s="1">
        <v>5</v>
      </c>
      <c r="H78" s="1">
        <v>7.11</v>
      </c>
    </row>
    <row r="79" spans="1:8" ht="15.6" x14ac:dyDescent="0.35">
      <c r="A79" s="13">
        <v>42917</v>
      </c>
      <c r="B79" s="1" t="s">
        <v>67</v>
      </c>
      <c r="C79" s="1">
        <v>151</v>
      </c>
      <c r="D79" s="1">
        <v>33702.42000000002</v>
      </c>
      <c r="E79" s="1">
        <v>162</v>
      </c>
      <c r="F79" s="1">
        <v>208.03962962962976</v>
      </c>
      <c r="G79" s="1">
        <v>6</v>
      </c>
      <c r="H79" s="1">
        <v>7</v>
      </c>
    </row>
    <row r="80" spans="1:8" ht="15.6" x14ac:dyDescent="0.35">
      <c r="A80" s="13">
        <v>42917</v>
      </c>
      <c r="B80" s="1" t="s">
        <v>63</v>
      </c>
      <c r="C80" s="1">
        <v>249</v>
      </c>
      <c r="D80" s="1">
        <v>24028.120000000024</v>
      </c>
      <c r="E80" s="1">
        <v>314</v>
      </c>
      <c r="F80" s="1">
        <v>76.522675159235746</v>
      </c>
      <c r="G80" s="1">
        <v>7</v>
      </c>
      <c r="H80" s="1">
        <v>4.99</v>
      </c>
    </row>
    <row r="81" spans="1:8" ht="15.6" x14ac:dyDescent="0.35">
      <c r="A81" s="13">
        <v>42917</v>
      </c>
      <c r="B81" s="1" t="s">
        <v>65</v>
      </c>
      <c r="C81" s="1">
        <v>197</v>
      </c>
      <c r="D81" s="1">
        <v>23956.840000000055</v>
      </c>
      <c r="E81" s="1">
        <v>203</v>
      </c>
      <c r="F81" s="1">
        <v>118.01399014778352</v>
      </c>
      <c r="G81" s="1">
        <v>8</v>
      </c>
      <c r="H81" s="1">
        <v>4.97</v>
      </c>
    </row>
    <row r="82" spans="1:8" ht="15.6" x14ac:dyDescent="0.35">
      <c r="A82" s="13">
        <v>42917</v>
      </c>
      <c r="B82" s="1" t="s">
        <v>77</v>
      </c>
      <c r="C82" s="1">
        <v>220</v>
      </c>
      <c r="D82" s="1">
        <v>20251.53000000001</v>
      </c>
      <c r="E82" s="1">
        <v>271</v>
      </c>
      <c r="F82" s="1">
        <v>74.728892988929928</v>
      </c>
      <c r="G82" s="1">
        <v>9</v>
      </c>
      <c r="H82" s="1">
        <v>4.21</v>
      </c>
    </row>
    <row r="83" spans="1:8" ht="15.6" x14ac:dyDescent="0.35">
      <c r="A83" s="13">
        <v>42917</v>
      </c>
      <c r="B83" s="1" t="s">
        <v>70</v>
      </c>
      <c r="C83" s="1">
        <v>153</v>
      </c>
      <c r="D83" s="1">
        <v>18951.29999999997</v>
      </c>
      <c r="E83" s="1">
        <v>184</v>
      </c>
      <c r="F83" s="1">
        <v>102.99619565217375</v>
      </c>
      <c r="G83" s="1">
        <v>10</v>
      </c>
      <c r="H83" s="1">
        <v>3.94</v>
      </c>
    </row>
    <row r="84" spans="1:8" ht="15.6" x14ac:dyDescent="0.35">
      <c r="A84" s="13">
        <v>42948</v>
      </c>
      <c r="B84" s="1" t="s">
        <v>75</v>
      </c>
      <c r="C84" s="1">
        <v>442</v>
      </c>
      <c r="D84" s="1">
        <v>56580.630000000128</v>
      </c>
      <c r="E84" s="1">
        <v>506</v>
      </c>
      <c r="F84" s="1">
        <v>111.8194268774706</v>
      </c>
      <c r="G84" s="1">
        <v>1</v>
      </c>
      <c r="H84" s="1">
        <v>10.199999999999999</v>
      </c>
    </row>
    <row r="85" spans="1:8" ht="15.6" x14ac:dyDescent="0.35">
      <c r="A85" s="13">
        <v>42948</v>
      </c>
      <c r="B85" s="1" t="s">
        <v>62</v>
      </c>
      <c r="C85" s="1">
        <v>338</v>
      </c>
      <c r="D85" s="1">
        <v>49030.229999999996</v>
      </c>
      <c r="E85" s="1">
        <v>352</v>
      </c>
      <c r="F85" s="1">
        <v>139.29042613636364</v>
      </c>
      <c r="G85" s="1">
        <v>2</v>
      </c>
      <c r="H85" s="1">
        <v>8.84</v>
      </c>
    </row>
    <row r="86" spans="1:8" ht="15.6" x14ac:dyDescent="0.35">
      <c r="A86" s="13">
        <v>42948</v>
      </c>
      <c r="B86" s="1" t="s">
        <v>68</v>
      </c>
      <c r="C86" s="1">
        <v>375</v>
      </c>
      <c r="D86" s="1">
        <v>40624.770000000208</v>
      </c>
      <c r="E86" s="1">
        <v>417</v>
      </c>
      <c r="F86" s="1">
        <v>97.42151079136741</v>
      </c>
      <c r="G86" s="1">
        <v>3</v>
      </c>
      <c r="H86" s="1">
        <v>7.32</v>
      </c>
    </row>
    <row r="87" spans="1:8" ht="15.6" x14ac:dyDescent="0.35">
      <c r="A87" s="13">
        <v>42948</v>
      </c>
      <c r="B87" s="1" t="s">
        <v>73</v>
      </c>
      <c r="C87" s="1">
        <v>235</v>
      </c>
      <c r="D87" s="1">
        <v>38264.510000000046</v>
      </c>
      <c r="E87" s="1">
        <v>256</v>
      </c>
      <c r="F87" s="1">
        <v>149.47074218750018</v>
      </c>
      <c r="G87" s="1">
        <v>4</v>
      </c>
      <c r="H87" s="1">
        <v>6.9</v>
      </c>
    </row>
    <row r="88" spans="1:8" ht="15.6" x14ac:dyDescent="0.35">
      <c r="A88" s="13">
        <v>42948</v>
      </c>
      <c r="B88" s="1" t="s">
        <v>67</v>
      </c>
      <c r="C88" s="1">
        <v>194</v>
      </c>
      <c r="D88" s="1">
        <v>36170.95000000007</v>
      </c>
      <c r="E88" s="1">
        <v>211</v>
      </c>
      <c r="F88" s="1">
        <v>171.42630331753588</v>
      </c>
      <c r="G88" s="1">
        <v>5</v>
      </c>
      <c r="H88" s="1">
        <v>6.52</v>
      </c>
    </row>
    <row r="89" spans="1:8" ht="15.6" x14ac:dyDescent="0.35">
      <c r="A89" s="13">
        <v>42948</v>
      </c>
      <c r="B89" s="1" t="s">
        <v>76</v>
      </c>
      <c r="C89" s="1">
        <v>290</v>
      </c>
      <c r="D89" s="1">
        <v>33826.470000000103</v>
      </c>
      <c r="E89" s="1">
        <v>341</v>
      </c>
      <c r="F89" s="1">
        <v>99.19785923753696</v>
      </c>
      <c r="G89" s="1">
        <v>6</v>
      </c>
      <c r="H89" s="1">
        <v>6.1</v>
      </c>
    </row>
    <row r="90" spans="1:8" ht="15.6" x14ac:dyDescent="0.35">
      <c r="A90" s="13">
        <v>42948</v>
      </c>
      <c r="B90" s="1" t="s">
        <v>63</v>
      </c>
      <c r="C90" s="1">
        <v>323</v>
      </c>
      <c r="D90" s="1">
        <v>33595.89000000013</v>
      </c>
      <c r="E90" s="1">
        <v>426</v>
      </c>
      <c r="F90" s="1">
        <v>78.863591549296075</v>
      </c>
      <c r="G90" s="1">
        <v>7</v>
      </c>
      <c r="H90" s="1">
        <v>6.06</v>
      </c>
    </row>
    <row r="91" spans="1:8" ht="15.6" x14ac:dyDescent="0.35">
      <c r="A91" s="13">
        <v>42948</v>
      </c>
      <c r="B91" s="1" t="s">
        <v>79</v>
      </c>
      <c r="C91" s="1">
        <v>28</v>
      </c>
      <c r="D91" s="1">
        <v>32400</v>
      </c>
      <c r="E91" s="1">
        <v>28</v>
      </c>
      <c r="F91" s="1">
        <v>1157.1428571428571</v>
      </c>
      <c r="G91" s="1">
        <v>8</v>
      </c>
      <c r="H91" s="1">
        <v>5.84</v>
      </c>
    </row>
    <row r="92" spans="1:8" ht="15.6" x14ac:dyDescent="0.35">
      <c r="A92" s="13">
        <v>42948</v>
      </c>
      <c r="B92" s="1" t="s">
        <v>77</v>
      </c>
      <c r="C92" s="1">
        <v>245</v>
      </c>
      <c r="D92" s="1">
        <v>23427.840000000029</v>
      </c>
      <c r="E92" s="1">
        <v>280</v>
      </c>
      <c r="F92" s="1">
        <v>83.670857142857244</v>
      </c>
      <c r="G92" s="1">
        <v>9</v>
      </c>
      <c r="H92" s="1">
        <v>4.22</v>
      </c>
    </row>
    <row r="93" spans="1:8" ht="15.6" x14ac:dyDescent="0.35">
      <c r="A93" s="13">
        <v>42948</v>
      </c>
      <c r="B93" s="1" t="s">
        <v>70</v>
      </c>
      <c r="C93" s="1">
        <v>194</v>
      </c>
      <c r="D93" s="1">
        <v>22920.930000000018</v>
      </c>
      <c r="E93" s="1">
        <v>233</v>
      </c>
      <c r="F93" s="1">
        <v>98.37309012875545</v>
      </c>
      <c r="G93" s="1">
        <v>10</v>
      </c>
      <c r="H93" s="1">
        <v>4.13</v>
      </c>
    </row>
    <row r="94" spans="1:8" ht="15.6" x14ac:dyDescent="0.35">
      <c r="A94" s="13">
        <v>42979</v>
      </c>
      <c r="B94" s="1" t="s">
        <v>75</v>
      </c>
      <c r="C94" s="1">
        <v>456</v>
      </c>
      <c r="D94" s="1">
        <v>52105.610000000226</v>
      </c>
      <c r="E94" s="1">
        <v>528</v>
      </c>
      <c r="F94" s="1">
        <v>98.684867424242853</v>
      </c>
      <c r="G94" s="1">
        <v>1</v>
      </c>
      <c r="H94" s="1">
        <v>8.58</v>
      </c>
    </row>
    <row r="95" spans="1:8" ht="15.6" x14ac:dyDescent="0.35">
      <c r="A95" s="13">
        <v>42979</v>
      </c>
      <c r="B95" s="1" t="s">
        <v>79</v>
      </c>
      <c r="C95" s="1">
        <v>39</v>
      </c>
      <c r="D95" s="1">
        <v>51228.890000000007</v>
      </c>
      <c r="E95" s="1">
        <v>40</v>
      </c>
      <c r="F95" s="1">
        <v>1280.7222500000003</v>
      </c>
      <c r="G95" s="1">
        <v>2</v>
      </c>
      <c r="H95" s="1">
        <v>8.43</v>
      </c>
    </row>
    <row r="96" spans="1:8" ht="15.6" x14ac:dyDescent="0.35">
      <c r="A96" s="13">
        <v>42979</v>
      </c>
      <c r="B96" s="1" t="s">
        <v>62</v>
      </c>
      <c r="C96" s="1">
        <v>356</v>
      </c>
      <c r="D96" s="1">
        <v>50649.160000000134</v>
      </c>
      <c r="E96" s="1">
        <v>376</v>
      </c>
      <c r="F96" s="1">
        <v>134.70521276595781</v>
      </c>
      <c r="G96" s="1">
        <v>3</v>
      </c>
      <c r="H96" s="1">
        <v>8.34</v>
      </c>
    </row>
    <row r="97" spans="1:8" ht="15.6" x14ac:dyDescent="0.35">
      <c r="A97" s="13">
        <v>42979</v>
      </c>
      <c r="B97" s="1" t="s">
        <v>68</v>
      </c>
      <c r="C97" s="1">
        <v>408</v>
      </c>
      <c r="D97" s="1">
        <v>48972.110000000197</v>
      </c>
      <c r="E97" s="1">
        <v>453</v>
      </c>
      <c r="F97" s="1">
        <v>108.10620309050816</v>
      </c>
      <c r="G97" s="1">
        <v>4</v>
      </c>
      <c r="H97" s="1">
        <v>8.06</v>
      </c>
    </row>
    <row r="98" spans="1:8" ht="15.6" x14ac:dyDescent="0.35">
      <c r="A98" s="13">
        <v>42979</v>
      </c>
      <c r="B98" s="1" t="s">
        <v>67</v>
      </c>
      <c r="C98" s="1">
        <v>251</v>
      </c>
      <c r="D98" s="1">
        <v>44748.960000000057</v>
      </c>
      <c r="E98" s="1">
        <v>264</v>
      </c>
      <c r="F98" s="1">
        <v>169.50363636363659</v>
      </c>
      <c r="G98" s="1">
        <v>5</v>
      </c>
      <c r="H98" s="1">
        <v>7.37</v>
      </c>
    </row>
    <row r="99" spans="1:8" ht="15.6" x14ac:dyDescent="0.35">
      <c r="A99" s="13">
        <v>42979</v>
      </c>
      <c r="B99" s="1" t="s">
        <v>73</v>
      </c>
      <c r="C99" s="1">
        <v>196</v>
      </c>
      <c r="D99" s="1">
        <v>37547.470000000016</v>
      </c>
      <c r="E99" s="1">
        <v>203</v>
      </c>
      <c r="F99" s="1">
        <v>184.96290640394096</v>
      </c>
      <c r="G99" s="1">
        <v>6</v>
      </c>
      <c r="H99" s="1">
        <v>6.18</v>
      </c>
    </row>
    <row r="100" spans="1:8" ht="15.6" x14ac:dyDescent="0.35">
      <c r="A100" s="13">
        <v>42979</v>
      </c>
      <c r="B100" s="1" t="s">
        <v>63</v>
      </c>
      <c r="C100" s="1">
        <v>270</v>
      </c>
      <c r="D100" s="1">
        <v>30554.920000000089</v>
      </c>
      <c r="E100" s="1">
        <v>343</v>
      </c>
      <c r="F100" s="1">
        <v>89.081399416909875</v>
      </c>
      <c r="G100" s="1">
        <v>7</v>
      </c>
      <c r="H100" s="1">
        <v>5.03</v>
      </c>
    </row>
    <row r="101" spans="1:8" ht="15.6" x14ac:dyDescent="0.35">
      <c r="A101" s="13">
        <v>42979</v>
      </c>
      <c r="B101" s="1" t="s">
        <v>65</v>
      </c>
      <c r="C101" s="1">
        <v>265</v>
      </c>
      <c r="D101" s="1">
        <v>29606.830000000111</v>
      </c>
      <c r="E101" s="1">
        <v>289</v>
      </c>
      <c r="F101" s="1">
        <v>102.44577854671319</v>
      </c>
      <c r="G101" s="1">
        <v>8</v>
      </c>
      <c r="H101" s="1">
        <v>4.87</v>
      </c>
    </row>
    <row r="102" spans="1:8" ht="15.6" x14ac:dyDescent="0.35">
      <c r="A102" s="13">
        <v>42979</v>
      </c>
      <c r="B102" s="1" t="s">
        <v>76</v>
      </c>
      <c r="C102" s="1">
        <v>211</v>
      </c>
      <c r="D102" s="1">
        <v>28040.650000000063</v>
      </c>
      <c r="E102" s="1">
        <v>247</v>
      </c>
      <c r="F102" s="1">
        <v>113.52489878542536</v>
      </c>
      <c r="G102" s="1">
        <v>9</v>
      </c>
      <c r="H102" s="1">
        <v>4.62</v>
      </c>
    </row>
    <row r="103" spans="1:8" ht="15.6" x14ac:dyDescent="0.35">
      <c r="A103" s="13">
        <v>42979</v>
      </c>
      <c r="B103" s="1" t="s">
        <v>69</v>
      </c>
      <c r="C103" s="1">
        <v>161</v>
      </c>
      <c r="D103" s="1">
        <v>23232.450000000033</v>
      </c>
      <c r="E103" s="1">
        <v>170</v>
      </c>
      <c r="F103" s="1">
        <v>136.66147058823549</v>
      </c>
      <c r="G103" s="1">
        <v>10</v>
      </c>
      <c r="H103" s="1">
        <v>3.82</v>
      </c>
    </row>
    <row r="104" spans="1:8" ht="15.6" x14ac:dyDescent="0.35">
      <c r="A104" s="13">
        <v>43009</v>
      </c>
      <c r="B104" s="1" t="s">
        <v>67</v>
      </c>
      <c r="C104" s="1">
        <v>282</v>
      </c>
      <c r="D104" s="1">
        <v>64874.630000000056</v>
      </c>
      <c r="E104" s="1">
        <v>308</v>
      </c>
      <c r="F104" s="1">
        <v>210.63191558441576</v>
      </c>
      <c r="G104" s="1">
        <v>1</v>
      </c>
      <c r="H104" s="1">
        <v>10.01</v>
      </c>
    </row>
    <row r="105" spans="1:8" ht="15.6" x14ac:dyDescent="0.35">
      <c r="A105" s="13">
        <v>43009</v>
      </c>
      <c r="B105" s="1" t="s">
        <v>68</v>
      </c>
      <c r="C105" s="1">
        <v>417</v>
      </c>
      <c r="D105" s="1">
        <v>48568.980000000112</v>
      </c>
      <c r="E105" s="1">
        <v>462</v>
      </c>
      <c r="F105" s="1">
        <v>105.12766233766258</v>
      </c>
      <c r="G105" s="1">
        <v>2</v>
      </c>
      <c r="H105" s="1">
        <v>7.49</v>
      </c>
    </row>
    <row r="106" spans="1:8" ht="15.6" x14ac:dyDescent="0.35">
      <c r="A106" s="13">
        <v>43009</v>
      </c>
      <c r="B106" s="1" t="s">
        <v>75</v>
      </c>
      <c r="C106" s="1">
        <v>442</v>
      </c>
      <c r="D106" s="1">
        <v>46007.700000000121</v>
      </c>
      <c r="E106" s="1">
        <v>542</v>
      </c>
      <c r="F106" s="1">
        <v>84.885055350553728</v>
      </c>
      <c r="G106" s="1">
        <v>3</v>
      </c>
      <c r="H106" s="1">
        <v>7.1</v>
      </c>
    </row>
    <row r="107" spans="1:8" ht="15.6" x14ac:dyDescent="0.35">
      <c r="A107" s="13">
        <v>43009</v>
      </c>
      <c r="B107" s="1" t="s">
        <v>73</v>
      </c>
      <c r="C107" s="1">
        <v>242</v>
      </c>
      <c r="D107" s="1">
        <v>44348.230000000076</v>
      </c>
      <c r="E107" s="1">
        <v>254</v>
      </c>
      <c r="F107" s="1">
        <v>174.59933070866171</v>
      </c>
      <c r="G107" s="1">
        <v>4</v>
      </c>
      <c r="H107" s="1">
        <v>6.84</v>
      </c>
    </row>
    <row r="108" spans="1:8" ht="15.6" x14ac:dyDescent="0.35">
      <c r="A108" s="13">
        <v>43009</v>
      </c>
      <c r="B108" s="1" t="s">
        <v>76</v>
      </c>
      <c r="C108" s="1">
        <v>253</v>
      </c>
      <c r="D108" s="1">
        <v>42009.380000000099</v>
      </c>
      <c r="E108" s="1">
        <v>309</v>
      </c>
      <c r="F108" s="1">
        <v>135.95268608414273</v>
      </c>
      <c r="G108" s="1">
        <v>5</v>
      </c>
      <c r="H108" s="1">
        <v>6.48</v>
      </c>
    </row>
    <row r="109" spans="1:8" ht="15.6" x14ac:dyDescent="0.35">
      <c r="A109" s="13">
        <v>43009</v>
      </c>
      <c r="B109" s="1" t="s">
        <v>62</v>
      </c>
      <c r="C109" s="1">
        <v>322</v>
      </c>
      <c r="D109" s="1">
        <v>40698.990000000107</v>
      </c>
      <c r="E109" s="1">
        <v>350</v>
      </c>
      <c r="F109" s="1">
        <v>116.28282857142888</v>
      </c>
      <c r="G109" s="1">
        <v>6</v>
      </c>
      <c r="H109" s="1">
        <v>6.28</v>
      </c>
    </row>
    <row r="110" spans="1:8" ht="15.6" x14ac:dyDescent="0.35">
      <c r="A110" s="13">
        <v>43009</v>
      </c>
      <c r="B110" s="1" t="s">
        <v>79</v>
      </c>
      <c r="C110" s="1">
        <v>26</v>
      </c>
      <c r="D110" s="1">
        <v>40393.919999999991</v>
      </c>
      <c r="E110" s="1">
        <v>27</v>
      </c>
      <c r="F110" s="1">
        <v>1496.0711111111107</v>
      </c>
      <c r="G110" s="1">
        <v>7</v>
      </c>
      <c r="H110" s="1">
        <v>6.23</v>
      </c>
    </row>
    <row r="111" spans="1:8" ht="15.6" x14ac:dyDescent="0.35">
      <c r="A111" s="13">
        <v>43009</v>
      </c>
      <c r="B111" s="1" t="s">
        <v>65</v>
      </c>
      <c r="C111" s="1">
        <v>272</v>
      </c>
      <c r="D111" s="1">
        <v>33324.420000000086</v>
      </c>
      <c r="E111" s="1">
        <v>283</v>
      </c>
      <c r="F111" s="1">
        <v>117.75413427561868</v>
      </c>
      <c r="G111" s="1">
        <v>8</v>
      </c>
      <c r="H111" s="1">
        <v>5.14</v>
      </c>
    </row>
    <row r="112" spans="1:8" ht="15.6" x14ac:dyDescent="0.35">
      <c r="A112" s="13">
        <v>43009</v>
      </c>
      <c r="B112" s="1" t="s">
        <v>63</v>
      </c>
      <c r="C112" s="1">
        <v>266</v>
      </c>
      <c r="D112" s="1">
        <v>30009.740000000067</v>
      </c>
      <c r="E112" s="1">
        <v>375</v>
      </c>
      <c r="F112" s="1">
        <v>80.025973333333511</v>
      </c>
      <c r="G112" s="1">
        <v>9</v>
      </c>
      <c r="H112" s="1">
        <v>4.63</v>
      </c>
    </row>
    <row r="113" spans="1:8" ht="15.6" x14ac:dyDescent="0.35">
      <c r="A113" s="13">
        <v>43009</v>
      </c>
      <c r="B113" s="1" t="s">
        <v>70</v>
      </c>
      <c r="C113" s="1">
        <v>213</v>
      </c>
      <c r="D113" s="1">
        <v>25798.75000000008</v>
      </c>
      <c r="E113" s="1">
        <v>280</v>
      </c>
      <c r="F113" s="1">
        <v>92.138392857143145</v>
      </c>
      <c r="G113" s="1">
        <v>10</v>
      </c>
      <c r="H113" s="1">
        <v>3.98</v>
      </c>
    </row>
    <row r="114" spans="1:8" ht="15.6" x14ac:dyDescent="0.35">
      <c r="A114" s="13">
        <v>43040</v>
      </c>
      <c r="B114" s="1" t="s">
        <v>67</v>
      </c>
      <c r="C114" s="1">
        <v>424</v>
      </c>
      <c r="D114" s="1">
        <v>95292.339999999982</v>
      </c>
      <c r="E114" s="1">
        <v>463</v>
      </c>
      <c r="F114" s="1">
        <v>205.81498920086389</v>
      </c>
      <c r="G114" s="1">
        <v>1</v>
      </c>
      <c r="H114" s="1">
        <v>9.65</v>
      </c>
    </row>
    <row r="115" spans="1:8" ht="15.6" x14ac:dyDescent="0.35">
      <c r="A115" s="13">
        <v>43040</v>
      </c>
      <c r="B115" s="1" t="s">
        <v>75</v>
      </c>
      <c r="C115" s="1">
        <v>804</v>
      </c>
      <c r="D115" s="1">
        <v>87957.629999999685</v>
      </c>
      <c r="E115" s="1">
        <v>961</v>
      </c>
      <c r="F115" s="1">
        <v>91.527190426638583</v>
      </c>
      <c r="G115" s="1">
        <v>2</v>
      </c>
      <c r="H115" s="1">
        <v>8.9</v>
      </c>
    </row>
    <row r="116" spans="1:8" ht="15.6" x14ac:dyDescent="0.35">
      <c r="A116" s="13">
        <v>43040</v>
      </c>
      <c r="B116" s="1" t="s">
        <v>62</v>
      </c>
      <c r="C116" s="1">
        <v>519</v>
      </c>
      <c r="D116" s="1">
        <v>78274.399999999951</v>
      </c>
      <c r="E116" s="1">
        <v>573</v>
      </c>
      <c r="F116" s="1">
        <v>136.60453752181493</v>
      </c>
      <c r="G116" s="1">
        <v>3</v>
      </c>
      <c r="H116" s="1">
        <v>7.92</v>
      </c>
    </row>
    <row r="117" spans="1:8" ht="15.6" x14ac:dyDescent="0.35">
      <c r="A117" s="13">
        <v>43040</v>
      </c>
      <c r="B117" s="1" t="s">
        <v>76</v>
      </c>
      <c r="C117" s="1">
        <v>431</v>
      </c>
      <c r="D117" s="1">
        <v>69676.320000000065</v>
      </c>
      <c r="E117" s="1">
        <v>512</v>
      </c>
      <c r="F117" s="1">
        <v>136.08656250000013</v>
      </c>
      <c r="G117" s="1">
        <v>4</v>
      </c>
      <c r="H117" s="1">
        <v>7.05</v>
      </c>
    </row>
    <row r="118" spans="1:8" ht="15.6" x14ac:dyDescent="0.35">
      <c r="A118" s="13">
        <v>43040</v>
      </c>
      <c r="B118" s="1" t="s">
        <v>68</v>
      </c>
      <c r="C118" s="1">
        <v>542</v>
      </c>
      <c r="D118" s="1">
        <v>62686.240000000282</v>
      </c>
      <c r="E118" s="1">
        <v>597</v>
      </c>
      <c r="F118" s="1">
        <v>105.00207705192678</v>
      </c>
      <c r="G118" s="1">
        <v>5</v>
      </c>
      <c r="H118" s="1">
        <v>6.35</v>
      </c>
    </row>
    <row r="119" spans="1:8" ht="15.6" x14ac:dyDescent="0.35">
      <c r="A119" s="13">
        <v>43040</v>
      </c>
      <c r="B119" s="1" t="s">
        <v>65</v>
      </c>
      <c r="C119" s="1">
        <v>443</v>
      </c>
      <c r="D119" s="1">
        <v>62611.260000000126</v>
      </c>
      <c r="E119" s="1">
        <v>485</v>
      </c>
      <c r="F119" s="1">
        <v>129.09538144329923</v>
      </c>
      <c r="G119" s="1">
        <v>6</v>
      </c>
      <c r="H119" s="1">
        <v>6.34</v>
      </c>
    </row>
    <row r="120" spans="1:8" ht="15.6" x14ac:dyDescent="0.35">
      <c r="A120" s="13">
        <v>43040</v>
      </c>
      <c r="B120" s="1" t="s">
        <v>63</v>
      </c>
      <c r="C120" s="1">
        <v>536</v>
      </c>
      <c r="D120" s="1">
        <v>62091.270000000259</v>
      </c>
      <c r="E120" s="1">
        <v>767</v>
      </c>
      <c r="F120" s="1">
        <v>80.953415906128114</v>
      </c>
      <c r="G120" s="1">
        <v>7</v>
      </c>
      <c r="H120" s="1">
        <v>6.29</v>
      </c>
    </row>
    <row r="121" spans="1:8" ht="15.6" x14ac:dyDescent="0.35">
      <c r="A121" s="13">
        <v>43040</v>
      </c>
      <c r="B121" s="1" t="s">
        <v>73</v>
      </c>
      <c r="C121" s="1">
        <v>286</v>
      </c>
      <c r="D121" s="1">
        <v>55696.66000000004</v>
      </c>
      <c r="E121" s="1">
        <v>297</v>
      </c>
      <c r="F121" s="1">
        <v>187.53084175084189</v>
      </c>
      <c r="G121" s="1">
        <v>8</v>
      </c>
      <c r="H121" s="1">
        <v>5.64</v>
      </c>
    </row>
    <row r="122" spans="1:8" ht="15.6" x14ac:dyDescent="0.35">
      <c r="A122" s="13">
        <v>43040</v>
      </c>
      <c r="B122" s="1" t="s">
        <v>70</v>
      </c>
      <c r="C122" s="1">
        <v>430</v>
      </c>
      <c r="D122" s="1">
        <v>44275.180000000102</v>
      </c>
      <c r="E122" s="1">
        <v>547</v>
      </c>
      <c r="F122" s="1">
        <v>80.941828153565083</v>
      </c>
      <c r="G122" s="1">
        <v>9</v>
      </c>
      <c r="H122" s="1">
        <v>4.4800000000000004</v>
      </c>
    </row>
    <row r="123" spans="1:8" ht="15.6" x14ac:dyDescent="0.35">
      <c r="A123" s="13">
        <v>43040</v>
      </c>
      <c r="B123" s="1" t="s">
        <v>74</v>
      </c>
      <c r="C123" s="1">
        <v>242</v>
      </c>
      <c r="D123" s="1">
        <v>34736.490000000063</v>
      </c>
      <c r="E123" s="1">
        <v>260</v>
      </c>
      <c r="F123" s="1">
        <v>133.60188461538485</v>
      </c>
      <c r="G123" s="1">
        <v>10</v>
      </c>
      <c r="H123" s="1">
        <v>3.52</v>
      </c>
    </row>
    <row r="124" spans="1:8" ht="15.6" x14ac:dyDescent="0.35">
      <c r="A124" s="13">
        <v>43070</v>
      </c>
      <c r="B124" s="1" t="s">
        <v>67</v>
      </c>
      <c r="C124" s="1">
        <v>333</v>
      </c>
      <c r="D124" s="1">
        <v>69556.92</v>
      </c>
      <c r="E124" s="1">
        <v>353</v>
      </c>
      <c r="F124" s="1">
        <v>197.04509915014162</v>
      </c>
      <c r="G124" s="1">
        <v>1</v>
      </c>
      <c r="H124" s="1">
        <v>9.58</v>
      </c>
    </row>
    <row r="125" spans="1:8" ht="15.6" x14ac:dyDescent="0.35">
      <c r="A125" s="13">
        <v>43070</v>
      </c>
      <c r="B125" s="1" t="s">
        <v>62</v>
      </c>
      <c r="C125" s="1">
        <v>426</v>
      </c>
      <c r="D125" s="1">
        <v>60688.750000000058</v>
      </c>
      <c r="E125" s="1">
        <v>460</v>
      </c>
      <c r="F125" s="1">
        <v>131.93206521739143</v>
      </c>
      <c r="G125" s="1">
        <v>2</v>
      </c>
      <c r="H125" s="1">
        <v>8.36</v>
      </c>
    </row>
    <row r="126" spans="1:8" ht="15.6" x14ac:dyDescent="0.35">
      <c r="A126" s="13">
        <v>43070</v>
      </c>
      <c r="B126" s="1" t="s">
        <v>68</v>
      </c>
      <c r="C126" s="1">
        <v>431</v>
      </c>
      <c r="D126" s="1">
        <v>58722.480000000163</v>
      </c>
      <c r="E126" s="1">
        <v>484</v>
      </c>
      <c r="F126" s="1">
        <v>121.32743801652926</v>
      </c>
      <c r="G126" s="1">
        <v>3</v>
      </c>
      <c r="H126" s="1">
        <v>8.09</v>
      </c>
    </row>
    <row r="127" spans="1:8" ht="15.6" x14ac:dyDescent="0.35">
      <c r="A127" s="13">
        <v>43070</v>
      </c>
      <c r="B127" s="1" t="s">
        <v>65</v>
      </c>
      <c r="C127" s="1">
        <v>413</v>
      </c>
      <c r="D127" s="1">
        <v>55064.560000000107</v>
      </c>
      <c r="E127" s="1">
        <v>436</v>
      </c>
      <c r="F127" s="1">
        <v>126.29486238532135</v>
      </c>
      <c r="G127" s="1">
        <v>4</v>
      </c>
      <c r="H127" s="1">
        <v>7.58</v>
      </c>
    </row>
    <row r="128" spans="1:8" ht="15.6" x14ac:dyDescent="0.35">
      <c r="A128" s="13">
        <v>43070</v>
      </c>
      <c r="B128" s="1" t="s">
        <v>75</v>
      </c>
      <c r="C128" s="1">
        <v>476</v>
      </c>
      <c r="D128" s="1">
        <v>50081.160000000244</v>
      </c>
      <c r="E128" s="1">
        <v>546</v>
      </c>
      <c r="F128" s="1">
        <v>91.723736263736711</v>
      </c>
      <c r="G128" s="1">
        <v>5</v>
      </c>
      <c r="H128" s="1">
        <v>6.9</v>
      </c>
    </row>
    <row r="129" spans="1:8" ht="15.6" x14ac:dyDescent="0.35">
      <c r="A129" s="13">
        <v>43070</v>
      </c>
      <c r="B129" s="1" t="s">
        <v>74</v>
      </c>
      <c r="C129" s="1">
        <v>238</v>
      </c>
      <c r="D129" s="1">
        <v>39019.960000000072</v>
      </c>
      <c r="E129" s="1">
        <v>263</v>
      </c>
      <c r="F129" s="1">
        <v>148.36486692015237</v>
      </c>
      <c r="G129" s="1">
        <v>6</v>
      </c>
      <c r="H129" s="1">
        <v>5.37</v>
      </c>
    </row>
    <row r="130" spans="1:8" ht="15.6" x14ac:dyDescent="0.35">
      <c r="A130" s="13">
        <v>43070</v>
      </c>
      <c r="B130" s="1" t="s">
        <v>73</v>
      </c>
      <c r="C130" s="1">
        <v>231</v>
      </c>
      <c r="D130" s="1">
        <v>37515.570000000072</v>
      </c>
      <c r="E130" s="1">
        <v>248</v>
      </c>
      <c r="F130" s="1">
        <v>151.27245967741965</v>
      </c>
      <c r="G130" s="1">
        <v>7</v>
      </c>
      <c r="H130" s="1">
        <v>5.17</v>
      </c>
    </row>
    <row r="131" spans="1:8" ht="15.6" x14ac:dyDescent="0.35">
      <c r="A131" s="13">
        <v>43070</v>
      </c>
      <c r="B131" s="1" t="s">
        <v>76</v>
      </c>
      <c r="C131" s="1">
        <v>249</v>
      </c>
      <c r="D131" s="1">
        <v>37428.670000000107</v>
      </c>
      <c r="E131" s="1">
        <v>284</v>
      </c>
      <c r="F131" s="1">
        <v>131.79109154929614</v>
      </c>
      <c r="G131" s="1">
        <v>8</v>
      </c>
      <c r="H131" s="1">
        <v>5.16</v>
      </c>
    </row>
    <row r="132" spans="1:8" ht="15.6" x14ac:dyDescent="0.35">
      <c r="A132" s="13">
        <v>43070</v>
      </c>
      <c r="B132" s="1" t="s">
        <v>63</v>
      </c>
      <c r="C132" s="1">
        <v>304</v>
      </c>
      <c r="D132" s="1">
        <v>31073.090000000091</v>
      </c>
      <c r="E132" s="1">
        <v>378</v>
      </c>
      <c r="F132" s="1">
        <v>82.20394179894204</v>
      </c>
      <c r="G132" s="1">
        <v>9</v>
      </c>
      <c r="H132" s="1">
        <v>4.28</v>
      </c>
    </row>
    <row r="133" spans="1:8" ht="15.6" x14ac:dyDescent="0.35">
      <c r="A133" s="13">
        <v>43070</v>
      </c>
      <c r="B133" s="1" t="s">
        <v>70</v>
      </c>
      <c r="C133" s="1">
        <v>243</v>
      </c>
      <c r="D133" s="1">
        <v>26795.690000000093</v>
      </c>
      <c r="E133" s="1">
        <v>323</v>
      </c>
      <c r="F133" s="1">
        <v>82.958792569659735</v>
      </c>
      <c r="G133" s="1">
        <v>10</v>
      </c>
      <c r="H133" s="1">
        <v>3.69</v>
      </c>
    </row>
    <row r="134" spans="1:8" ht="15.6" x14ac:dyDescent="0.35">
      <c r="A134" s="13">
        <v>43101</v>
      </c>
      <c r="B134" s="1" t="s">
        <v>68</v>
      </c>
      <c r="C134" s="1">
        <v>575</v>
      </c>
      <c r="D134" s="1">
        <v>86172.83</v>
      </c>
      <c r="E134" s="1">
        <v>642</v>
      </c>
      <c r="F134" s="1">
        <v>134.22559190031154</v>
      </c>
      <c r="G134" s="1">
        <v>1</v>
      </c>
      <c r="H134" s="1">
        <v>9.32</v>
      </c>
    </row>
    <row r="135" spans="1:8" ht="15.6" x14ac:dyDescent="0.35">
      <c r="A135" s="13">
        <v>43101</v>
      </c>
      <c r="B135" s="1" t="s">
        <v>76</v>
      </c>
      <c r="C135" s="1">
        <v>574</v>
      </c>
      <c r="D135" s="1">
        <v>80503.870000000083</v>
      </c>
      <c r="E135" s="1">
        <v>688</v>
      </c>
      <c r="F135" s="1">
        <v>117.01143895348849</v>
      </c>
      <c r="G135" s="1">
        <v>2</v>
      </c>
      <c r="H135" s="1">
        <v>8.7100000000000009</v>
      </c>
    </row>
    <row r="136" spans="1:8" ht="15.6" x14ac:dyDescent="0.35">
      <c r="A136" s="13">
        <v>43101</v>
      </c>
      <c r="B136" s="1" t="s">
        <v>75</v>
      </c>
      <c r="C136" s="1">
        <v>689</v>
      </c>
      <c r="D136" s="1">
        <v>75408.130000000077</v>
      </c>
      <c r="E136" s="1">
        <v>836</v>
      </c>
      <c r="F136" s="1">
        <v>90.20111244019148</v>
      </c>
      <c r="G136" s="1">
        <v>3</v>
      </c>
      <c r="H136" s="1">
        <v>8.16</v>
      </c>
    </row>
    <row r="137" spans="1:8" ht="15.6" x14ac:dyDescent="0.35">
      <c r="A137" s="13">
        <v>43101</v>
      </c>
      <c r="B137" s="1" t="s">
        <v>67</v>
      </c>
      <c r="C137" s="1">
        <v>322</v>
      </c>
      <c r="D137" s="1">
        <v>73521.240000000049</v>
      </c>
      <c r="E137" s="1">
        <v>355</v>
      </c>
      <c r="F137" s="1">
        <v>207.10208450704238</v>
      </c>
      <c r="G137" s="1">
        <v>4</v>
      </c>
      <c r="H137" s="1">
        <v>7.95</v>
      </c>
    </row>
    <row r="138" spans="1:8" ht="15.6" x14ac:dyDescent="0.35">
      <c r="A138" s="13">
        <v>43101</v>
      </c>
      <c r="B138" s="1" t="s">
        <v>62</v>
      </c>
      <c r="C138" s="1">
        <v>563</v>
      </c>
      <c r="D138" s="1">
        <v>71405.600000000064</v>
      </c>
      <c r="E138" s="1">
        <v>619</v>
      </c>
      <c r="F138" s="1">
        <v>115.35638126009704</v>
      </c>
      <c r="G138" s="1">
        <v>5</v>
      </c>
      <c r="H138" s="1">
        <v>7.72</v>
      </c>
    </row>
    <row r="139" spans="1:8" ht="15.6" x14ac:dyDescent="0.35">
      <c r="A139" s="13">
        <v>43101</v>
      </c>
      <c r="B139" s="1" t="s">
        <v>63</v>
      </c>
      <c r="C139" s="1">
        <v>467</v>
      </c>
      <c r="D139" s="1">
        <v>53798.810000000325</v>
      </c>
      <c r="E139" s="1">
        <v>595</v>
      </c>
      <c r="F139" s="1">
        <v>90.418168067227441</v>
      </c>
      <c r="G139" s="1">
        <v>6</v>
      </c>
      <c r="H139" s="1">
        <v>5.82</v>
      </c>
    </row>
    <row r="140" spans="1:8" ht="15.6" x14ac:dyDescent="0.35">
      <c r="A140" s="13">
        <v>43101</v>
      </c>
      <c r="B140" s="1" t="s">
        <v>80</v>
      </c>
      <c r="C140" s="1">
        <v>368</v>
      </c>
      <c r="D140" s="1">
        <v>39522.720000000059</v>
      </c>
      <c r="E140" s="1">
        <v>385</v>
      </c>
      <c r="F140" s="1">
        <v>102.65641558441574</v>
      </c>
      <c r="G140" s="1">
        <v>7</v>
      </c>
      <c r="H140" s="1">
        <v>4.2699999999999996</v>
      </c>
    </row>
    <row r="141" spans="1:8" ht="15.6" x14ac:dyDescent="0.35">
      <c r="A141" s="13">
        <v>43101</v>
      </c>
      <c r="B141" s="1" t="s">
        <v>73</v>
      </c>
      <c r="C141" s="1">
        <v>285</v>
      </c>
      <c r="D141" s="1">
        <v>38942.410000000098</v>
      </c>
      <c r="E141" s="1">
        <v>296</v>
      </c>
      <c r="F141" s="1">
        <v>131.56219594594629</v>
      </c>
      <c r="G141" s="1">
        <v>8</v>
      </c>
      <c r="H141" s="1">
        <v>4.21</v>
      </c>
    </row>
    <row r="142" spans="1:8" ht="15.6" x14ac:dyDescent="0.35">
      <c r="A142" s="13">
        <v>43101</v>
      </c>
      <c r="B142" s="1" t="s">
        <v>77</v>
      </c>
      <c r="C142" s="1">
        <v>317</v>
      </c>
      <c r="D142" s="1">
        <v>37446.7400000001</v>
      </c>
      <c r="E142" s="1">
        <v>351</v>
      </c>
      <c r="F142" s="1">
        <v>106.68586894586923</v>
      </c>
      <c r="G142" s="1">
        <v>9</v>
      </c>
      <c r="H142" s="1">
        <v>4.05</v>
      </c>
    </row>
    <row r="143" spans="1:8" ht="15.6" x14ac:dyDescent="0.35">
      <c r="A143" s="13">
        <v>43101</v>
      </c>
      <c r="B143" s="1" t="s">
        <v>74</v>
      </c>
      <c r="C143" s="1">
        <v>243</v>
      </c>
      <c r="D143" s="1">
        <v>35855.02000000012</v>
      </c>
      <c r="E143" s="1">
        <v>267</v>
      </c>
      <c r="F143" s="1">
        <v>134.2884644194761</v>
      </c>
      <c r="G143" s="1">
        <v>10</v>
      </c>
      <c r="H143" s="1">
        <v>3.88</v>
      </c>
    </row>
    <row r="144" spans="1:8" ht="15.6" x14ac:dyDescent="0.35">
      <c r="A144" s="13">
        <v>43132</v>
      </c>
      <c r="B144" s="1" t="s">
        <v>76</v>
      </c>
      <c r="C144" s="1">
        <v>791</v>
      </c>
      <c r="D144" s="1">
        <v>100131.98999999947</v>
      </c>
      <c r="E144" s="1">
        <v>971</v>
      </c>
      <c r="F144" s="1">
        <v>103.12254376930944</v>
      </c>
      <c r="G144" s="1">
        <v>1</v>
      </c>
      <c r="H144" s="1">
        <v>12.12</v>
      </c>
    </row>
    <row r="145" spans="1:8" ht="15.6" x14ac:dyDescent="0.35">
      <c r="A145" s="13">
        <v>43132</v>
      </c>
      <c r="B145" s="1" t="s">
        <v>62</v>
      </c>
      <c r="C145" s="1">
        <v>595</v>
      </c>
      <c r="D145" s="1">
        <v>84576.549999999799</v>
      </c>
      <c r="E145" s="1">
        <v>650</v>
      </c>
      <c r="F145" s="1">
        <v>130.11776923076891</v>
      </c>
      <c r="G145" s="1">
        <v>2</v>
      </c>
      <c r="H145" s="1">
        <v>10.23</v>
      </c>
    </row>
    <row r="146" spans="1:8" ht="15.6" x14ac:dyDescent="0.35">
      <c r="A146" s="13">
        <v>43132</v>
      </c>
      <c r="B146" s="1" t="s">
        <v>68</v>
      </c>
      <c r="C146" s="1">
        <v>571</v>
      </c>
      <c r="D146" s="1">
        <v>74540.950000000041</v>
      </c>
      <c r="E146" s="1">
        <v>637</v>
      </c>
      <c r="F146" s="1">
        <v>117.01875981161702</v>
      </c>
      <c r="G146" s="1">
        <v>3</v>
      </c>
      <c r="H146" s="1">
        <v>9.02</v>
      </c>
    </row>
    <row r="147" spans="1:8" ht="15.6" x14ac:dyDescent="0.35">
      <c r="A147" s="13">
        <v>43132</v>
      </c>
      <c r="B147" s="1" t="s">
        <v>67</v>
      </c>
      <c r="C147" s="1">
        <v>304</v>
      </c>
      <c r="D147" s="1">
        <v>60725.310000000078</v>
      </c>
      <c r="E147" s="1">
        <v>324</v>
      </c>
      <c r="F147" s="1">
        <v>187.42379629629653</v>
      </c>
      <c r="G147" s="1">
        <v>4</v>
      </c>
      <c r="H147" s="1">
        <v>7.35</v>
      </c>
    </row>
    <row r="148" spans="1:8" ht="15.6" x14ac:dyDescent="0.35">
      <c r="A148" s="13">
        <v>43132</v>
      </c>
      <c r="B148" s="1" t="s">
        <v>75</v>
      </c>
      <c r="C148" s="1">
        <v>588</v>
      </c>
      <c r="D148" s="1">
        <v>60366.290000000306</v>
      </c>
      <c r="E148" s="1">
        <v>685</v>
      </c>
      <c r="F148" s="1">
        <v>88.125970802920151</v>
      </c>
      <c r="G148" s="1">
        <v>5</v>
      </c>
      <c r="H148" s="1">
        <v>7.3</v>
      </c>
    </row>
    <row r="149" spans="1:8" ht="15.6" x14ac:dyDescent="0.35">
      <c r="A149" s="13">
        <v>43132</v>
      </c>
      <c r="B149" s="1" t="s">
        <v>74</v>
      </c>
      <c r="C149" s="1">
        <v>299</v>
      </c>
      <c r="D149" s="1">
        <v>41048.510000000126</v>
      </c>
      <c r="E149" s="1">
        <v>315</v>
      </c>
      <c r="F149" s="1">
        <v>130.31273015873055</v>
      </c>
      <c r="G149" s="1">
        <v>6</v>
      </c>
      <c r="H149" s="1">
        <v>4.97</v>
      </c>
    </row>
    <row r="150" spans="1:8" ht="15.6" x14ac:dyDescent="0.35">
      <c r="A150" s="13">
        <v>43132</v>
      </c>
      <c r="B150" s="1" t="s">
        <v>63</v>
      </c>
      <c r="C150" s="1">
        <v>336</v>
      </c>
      <c r="D150" s="1">
        <v>38002.360000000219</v>
      </c>
      <c r="E150" s="1">
        <v>422</v>
      </c>
      <c r="F150" s="1">
        <v>90.05298578199104</v>
      </c>
      <c r="G150" s="1">
        <v>7</v>
      </c>
      <c r="H150" s="1">
        <v>4.5999999999999996</v>
      </c>
    </row>
    <row r="151" spans="1:8" ht="15.6" x14ac:dyDescent="0.35">
      <c r="A151" s="13">
        <v>43132</v>
      </c>
      <c r="B151" s="1" t="s">
        <v>77</v>
      </c>
      <c r="C151" s="1">
        <v>334</v>
      </c>
      <c r="D151" s="1">
        <v>34877.470000000088</v>
      </c>
      <c r="E151" s="1">
        <v>391</v>
      </c>
      <c r="F151" s="1">
        <v>89.200690537084625</v>
      </c>
      <c r="G151" s="1">
        <v>8</v>
      </c>
      <c r="H151" s="1">
        <v>4.22</v>
      </c>
    </row>
    <row r="152" spans="1:8" ht="15.6" x14ac:dyDescent="0.35">
      <c r="A152" s="13">
        <v>43132</v>
      </c>
      <c r="B152" s="1" t="s">
        <v>73</v>
      </c>
      <c r="C152" s="1">
        <v>176</v>
      </c>
      <c r="D152" s="1">
        <v>29772.250000000044</v>
      </c>
      <c r="E152" s="1">
        <v>180</v>
      </c>
      <c r="F152" s="1">
        <v>165.40138888888913</v>
      </c>
      <c r="G152" s="1">
        <v>9</v>
      </c>
      <c r="H152" s="1">
        <v>3.6</v>
      </c>
    </row>
    <row r="153" spans="1:8" ht="15.6" x14ac:dyDescent="0.35">
      <c r="A153" s="13">
        <v>43132</v>
      </c>
      <c r="B153" s="1" t="s">
        <v>70</v>
      </c>
      <c r="C153" s="1">
        <v>229</v>
      </c>
      <c r="D153" s="1">
        <v>26489.130000000048</v>
      </c>
      <c r="E153" s="1">
        <v>293</v>
      </c>
      <c r="F153" s="1">
        <v>90.406587030716892</v>
      </c>
      <c r="G153" s="1">
        <v>10</v>
      </c>
      <c r="H153" s="1">
        <v>3.21</v>
      </c>
    </row>
    <row r="154" spans="1:8" ht="15.6" x14ac:dyDescent="0.35">
      <c r="A154" s="13">
        <v>43160</v>
      </c>
      <c r="B154" s="1" t="s">
        <v>67</v>
      </c>
      <c r="C154" s="1">
        <v>407</v>
      </c>
      <c r="D154" s="1">
        <v>95661.180000000008</v>
      </c>
      <c r="E154" s="1">
        <v>421</v>
      </c>
      <c r="F154" s="1">
        <v>227.22370546318291</v>
      </c>
      <c r="G154" s="1">
        <v>1</v>
      </c>
      <c r="H154" s="1">
        <v>10.029999999999999</v>
      </c>
    </row>
    <row r="155" spans="1:8" ht="15.6" x14ac:dyDescent="0.35">
      <c r="A155" s="13">
        <v>43160</v>
      </c>
      <c r="B155" s="1" t="s">
        <v>76</v>
      </c>
      <c r="C155" s="1">
        <v>630</v>
      </c>
      <c r="D155" s="1">
        <v>84708.389999999927</v>
      </c>
      <c r="E155" s="1">
        <v>750</v>
      </c>
      <c r="F155" s="1">
        <v>112.9445199999999</v>
      </c>
      <c r="G155" s="1">
        <v>2</v>
      </c>
      <c r="H155" s="1">
        <v>8.89</v>
      </c>
    </row>
    <row r="156" spans="1:8" ht="15.6" x14ac:dyDescent="0.35">
      <c r="A156" s="13">
        <v>43160</v>
      </c>
      <c r="B156" s="1" t="s">
        <v>62</v>
      </c>
      <c r="C156" s="1">
        <v>605</v>
      </c>
      <c r="D156" s="1">
        <v>84488.570000000094</v>
      </c>
      <c r="E156" s="1">
        <v>656</v>
      </c>
      <c r="F156" s="1">
        <v>128.79355182926844</v>
      </c>
      <c r="G156" s="1">
        <v>3</v>
      </c>
      <c r="H156" s="1">
        <v>8.86</v>
      </c>
    </row>
    <row r="157" spans="1:8" ht="15.6" x14ac:dyDescent="0.35">
      <c r="A157" s="13">
        <v>43160</v>
      </c>
      <c r="B157" s="1" t="s">
        <v>68</v>
      </c>
      <c r="C157" s="1">
        <v>645</v>
      </c>
      <c r="D157" s="1">
        <v>81656.959999999977</v>
      </c>
      <c r="E157" s="1">
        <v>732</v>
      </c>
      <c r="F157" s="1">
        <v>111.55322404371582</v>
      </c>
      <c r="G157" s="1">
        <v>4</v>
      </c>
      <c r="H157" s="1">
        <v>8.57</v>
      </c>
    </row>
    <row r="158" spans="1:8" ht="15.6" x14ac:dyDescent="0.35">
      <c r="A158" s="13">
        <v>43160</v>
      </c>
      <c r="B158" s="1" t="s">
        <v>75</v>
      </c>
      <c r="C158" s="1">
        <v>652</v>
      </c>
      <c r="D158" s="1">
        <v>67786.350000000297</v>
      </c>
      <c r="E158" s="1">
        <v>777</v>
      </c>
      <c r="F158" s="1">
        <v>87.241119691120076</v>
      </c>
      <c r="G158" s="1">
        <v>5</v>
      </c>
      <c r="H158" s="1">
        <v>7.11</v>
      </c>
    </row>
    <row r="159" spans="1:8" ht="15.6" x14ac:dyDescent="0.35">
      <c r="A159" s="13">
        <v>43160</v>
      </c>
      <c r="B159" s="1" t="s">
        <v>63</v>
      </c>
      <c r="C159" s="1">
        <v>430</v>
      </c>
      <c r="D159" s="1">
        <v>51319.970000000307</v>
      </c>
      <c r="E159" s="1">
        <v>583</v>
      </c>
      <c r="F159" s="1">
        <v>88.027392795883884</v>
      </c>
      <c r="G159" s="1">
        <v>6</v>
      </c>
      <c r="H159" s="1">
        <v>5.38</v>
      </c>
    </row>
    <row r="160" spans="1:8" ht="15.6" x14ac:dyDescent="0.35">
      <c r="A160" s="13">
        <v>43160</v>
      </c>
      <c r="B160" s="1" t="s">
        <v>74</v>
      </c>
      <c r="C160" s="1">
        <v>317</v>
      </c>
      <c r="D160" s="1">
        <v>44081.960000000123</v>
      </c>
      <c r="E160" s="1">
        <v>336</v>
      </c>
      <c r="F160" s="1">
        <v>131.1963095238099</v>
      </c>
      <c r="G160" s="1">
        <v>7</v>
      </c>
      <c r="H160" s="1">
        <v>4.62</v>
      </c>
    </row>
    <row r="161" spans="1:8" ht="15.6" x14ac:dyDescent="0.35">
      <c r="A161" s="13">
        <v>43160</v>
      </c>
      <c r="B161" s="1" t="s">
        <v>69</v>
      </c>
      <c r="C161" s="1">
        <v>208</v>
      </c>
      <c r="D161" s="1">
        <v>40818.750000000124</v>
      </c>
      <c r="E161" s="1">
        <v>215</v>
      </c>
      <c r="F161" s="1">
        <v>189.85465116279127</v>
      </c>
      <c r="G161" s="1">
        <v>8</v>
      </c>
      <c r="H161" s="1">
        <v>4.28</v>
      </c>
    </row>
    <row r="162" spans="1:8" ht="15.6" x14ac:dyDescent="0.35">
      <c r="A162" s="13">
        <v>43160</v>
      </c>
      <c r="B162" s="1" t="s">
        <v>73</v>
      </c>
      <c r="C162" s="1">
        <v>239</v>
      </c>
      <c r="D162" s="1">
        <v>37791.240000000085</v>
      </c>
      <c r="E162" s="1">
        <v>253</v>
      </c>
      <c r="F162" s="1">
        <v>149.37249011857742</v>
      </c>
      <c r="G162" s="1">
        <v>9</v>
      </c>
      <c r="H162" s="1">
        <v>3.96</v>
      </c>
    </row>
    <row r="163" spans="1:8" ht="15.6" x14ac:dyDescent="0.35">
      <c r="A163" s="13">
        <v>43160</v>
      </c>
      <c r="B163" s="1" t="s">
        <v>77</v>
      </c>
      <c r="C163" s="1">
        <v>322</v>
      </c>
      <c r="D163" s="1">
        <v>35052.12000000009</v>
      </c>
      <c r="E163" s="1">
        <v>390</v>
      </c>
      <c r="F163" s="1">
        <v>89.877230769231005</v>
      </c>
      <c r="G163" s="1">
        <v>10</v>
      </c>
      <c r="H163" s="1">
        <v>3.68</v>
      </c>
    </row>
    <row r="164" spans="1:8" ht="15.6" x14ac:dyDescent="0.35">
      <c r="A164" s="13">
        <v>43191</v>
      </c>
      <c r="B164" s="1" t="s">
        <v>62</v>
      </c>
      <c r="C164" s="1">
        <v>619</v>
      </c>
      <c r="D164" s="1">
        <v>91058.450000000026</v>
      </c>
      <c r="E164" s="1">
        <v>685</v>
      </c>
      <c r="F164" s="1">
        <v>132.93204379562047</v>
      </c>
      <c r="G164" s="1">
        <v>1</v>
      </c>
      <c r="H164" s="1">
        <v>9.35</v>
      </c>
    </row>
    <row r="165" spans="1:8" ht="15.6" x14ac:dyDescent="0.35">
      <c r="A165" s="13">
        <v>43191</v>
      </c>
      <c r="B165" s="1" t="s">
        <v>67</v>
      </c>
      <c r="C165" s="1">
        <v>462</v>
      </c>
      <c r="D165" s="1">
        <v>88623.069999999556</v>
      </c>
      <c r="E165" s="1">
        <v>494</v>
      </c>
      <c r="F165" s="1">
        <v>179.39892712550517</v>
      </c>
      <c r="G165" s="1">
        <v>2</v>
      </c>
      <c r="H165" s="1">
        <v>9.1</v>
      </c>
    </row>
    <row r="166" spans="1:8" ht="15.6" x14ac:dyDescent="0.35">
      <c r="A166" s="13">
        <v>43191</v>
      </c>
      <c r="B166" s="1" t="s">
        <v>75</v>
      </c>
      <c r="C166" s="1">
        <v>600</v>
      </c>
      <c r="D166" s="1">
        <v>71379.610000000132</v>
      </c>
      <c r="E166" s="1">
        <v>736</v>
      </c>
      <c r="F166" s="1">
        <v>96.983165760869738</v>
      </c>
      <c r="G166" s="1">
        <v>3</v>
      </c>
      <c r="H166" s="1">
        <v>7.33</v>
      </c>
    </row>
    <row r="167" spans="1:8" ht="15.6" x14ac:dyDescent="0.35">
      <c r="A167" s="13">
        <v>43191</v>
      </c>
      <c r="B167" s="1" t="s">
        <v>68</v>
      </c>
      <c r="C167" s="1">
        <v>520</v>
      </c>
      <c r="D167" s="1">
        <v>65793.520000000106</v>
      </c>
      <c r="E167" s="1">
        <v>586</v>
      </c>
      <c r="F167" s="1">
        <v>112.27563139931759</v>
      </c>
      <c r="G167" s="1">
        <v>4</v>
      </c>
      <c r="H167" s="1">
        <v>6.76</v>
      </c>
    </row>
    <row r="168" spans="1:8" ht="15.6" x14ac:dyDescent="0.35">
      <c r="A168" s="13">
        <v>43191</v>
      </c>
      <c r="B168" s="1" t="s">
        <v>76</v>
      </c>
      <c r="C168" s="1">
        <v>465</v>
      </c>
      <c r="D168" s="1">
        <v>57370.900000000103</v>
      </c>
      <c r="E168" s="1">
        <v>526</v>
      </c>
      <c r="F168" s="1">
        <v>109.07015209125495</v>
      </c>
      <c r="G168" s="1">
        <v>5</v>
      </c>
      <c r="H168" s="1">
        <v>5.89</v>
      </c>
    </row>
    <row r="169" spans="1:8" ht="15.6" x14ac:dyDescent="0.35">
      <c r="A169" s="13">
        <v>43191</v>
      </c>
      <c r="B169" s="1" t="s">
        <v>63</v>
      </c>
      <c r="C169" s="1">
        <v>458</v>
      </c>
      <c r="D169" s="1">
        <v>56217.620000000221</v>
      </c>
      <c r="E169" s="1">
        <v>586</v>
      </c>
      <c r="F169" s="1">
        <v>95.9345051194543</v>
      </c>
      <c r="G169" s="1">
        <v>6</v>
      </c>
      <c r="H169" s="1">
        <v>5.77</v>
      </c>
    </row>
    <row r="170" spans="1:8" ht="15.6" x14ac:dyDescent="0.35">
      <c r="A170" s="13">
        <v>43191</v>
      </c>
      <c r="B170" s="1" t="s">
        <v>74</v>
      </c>
      <c r="C170" s="1">
        <v>328</v>
      </c>
      <c r="D170" s="1">
        <v>47989.41000000004</v>
      </c>
      <c r="E170" s="1">
        <v>348</v>
      </c>
      <c r="F170" s="1">
        <v>137.90060344827597</v>
      </c>
      <c r="G170" s="1">
        <v>7</v>
      </c>
      <c r="H170" s="1">
        <v>4.93</v>
      </c>
    </row>
    <row r="171" spans="1:8" ht="15.6" x14ac:dyDescent="0.35">
      <c r="A171" s="13">
        <v>43191</v>
      </c>
      <c r="B171" s="1" t="s">
        <v>69</v>
      </c>
      <c r="C171" s="1">
        <v>215</v>
      </c>
      <c r="D171" s="1">
        <v>47201.220000000081</v>
      </c>
      <c r="E171" s="1">
        <v>237</v>
      </c>
      <c r="F171" s="1">
        <v>199.16126582278514</v>
      </c>
      <c r="G171" s="1">
        <v>8</v>
      </c>
      <c r="H171" s="1">
        <v>4.8499999999999996</v>
      </c>
    </row>
    <row r="172" spans="1:8" ht="15.6" x14ac:dyDescent="0.35">
      <c r="A172" s="13">
        <v>43191</v>
      </c>
      <c r="B172" s="1" t="s">
        <v>77</v>
      </c>
      <c r="C172" s="1">
        <v>411</v>
      </c>
      <c r="D172" s="1">
        <v>44363.290000000117</v>
      </c>
      <c r="E172" s="1">
        <v>462</v>
      </c>
      <c r="F172" s="1">
        <v>96.024437229437481</v>
      </c>
      <c r="G172" s="1">
        <v>9</v>
      </c>
      <c r="H172" s="1">
        <v>4.5599999999999996</v>
      </c>
    </row>
    <row r="173" spans="1:8" ht="15.6" x14ac:dyDescent="0.35">
      <c r="A173" s="13">
        <v>43191</v>
      </c>
      <c r="B173" s="1" t="s">
        <v>73</v>
      </c>
      <c r="C173" s="1">
        <v>194</v>
      </c>
      <c r="D173" s="1">
        <v>35025.41000000004</v>
      </c>
      <c r="E173" s="1">
        <v>206</v>
      </c>
      <c r="F173" s="1">
        <v>170.02626213592254</v>
      </c>
      <c r="G173" s="1">
        <v>10</v>
      </c>
      <c r="H173" s="1">
        <v>3.6</v>
      </c>
    </row>
    <row r="174" spans="1:8" ht="15.6" x14ac:dyDescent="0.35">
      <c r="A174" s="13">
        <v>43221</v>
      </c>
      <c r="B174" s="1" t="s">
        <v>67</v>
      </c>
      <c r="C174" s="1">
        <v>585</v>
      </c>
      <c r="D174" s="1">
        <v>119364.9799999994</v>
      </c>
      <c r="E174" s="1">
        <v>625</v>
      </c>
      <c r="F174" s="1">
        <v>190.98396799999904</v>
      </c>
      <c r="G174" s="1">
        <v>1</v>
      </c>
      <c r="H174" s="1">
        <v>12.21</v>
      </c>
    </row>
    <row r="175" spans="1:8" ht="15.6" x14ac:dyDescent="0.35">
      <c r="A175" s="13">
        <v>43221</v>
      </c>
      <c r="B175" s="1" t="s">
        <v>62</v>
      </c>
      <c r="C175" s="1">
        <v>669</v>
      </c>
      <c r="D175" s="1">
        <v>94534.379999999903</v>
      </c>
      <c r="E175" s="1">
        <v>751</v>
      </c>
      <c r="F175" s="1">
        <v>125.87800266311572</v>
      </c>
      <c r="G175" s="1">
        <v>2</v>
      </c>
      <c r="H175" s="1">
        <v>9.67</v>
      </c>
    </row>
    <row r="176" spans="1:8" ht="15.6" x14ac:dyDescent="0.35">
      <c r="A176" s="13">
        <v>43221</v>
      </c>
      <c r="B176" s="1" t="s">
        <v>75</v>
      </c>
      <c r="C176" s="1">
        <v>600</v>
      </c>
      <c r="D176" s="1">
        <v>71265.07000000024</v>
      </c>
      <c r="E176" s="1">
        <v>740</v>
      </c>
      <c r="F176" s="1">
        <v>96.304148648648976</v>
      </c>
      <c r="G176" s="1">
        <v>3</v>
      </c>
      <c r="H176" s="1">
        <v>7.29</v>
      </c>
    </row>
    <row r="177" spans="1:8" ht="15.6" x14ac:dyDescent="0.35">
      <c r="A177" s="13">
        <v>43221</v>
      </c>
      <c r="B177" s="1" t="s">
        <v>77</v>
      </c>
      <c r="C177" s="1">
        <v>492</v>
      </c>
      <c r="D177" s="1">
        <v>62824.570000000138</v>
      </c>
      <c r="E177" s="1">
        <v>618</v>
      </c>
      <c r="F177" s="1">
        <v>101.65788025889989</v>
      </c>
      <c r="G177" s="1">
        <v>4</v>
      </c>
      <c r="H177" s="1">
        <v>6.43</v>
      </c>
    </row>
    <row r="178" spans="1:8" ht="15.6" x14ac:dyDescent="0.35">
      <c r="A178" s="13">
        <v>43221</v>
      </c>
      <c r="B178" s="1" t="s">
        <v>68</v>
      </c>
      <c r="C178" s="1">
        <v>449</v>
      </c>
      <c r="D178" s="1">
        <v>59209.920000000115</v>
      </c>
      <c r="E178" s="1">
        <v>489</v>
      </c>
      <c r="F178" s="1">
        <v>121.08368098159532</v>
      </c>
      <c r="G178" s="1">
        <v>5</v>
      </c>
      <c r="H178" s="1">
        <v>6.06</v>
      </c>
    </row>
    <row r="179" spans="1:8" ht="15.6" x14ac:dyDescent="0.35">
      <c r="A179" s="13">
        <v>43221</v>
      </c>
      <c r="B179" s="1" t="s">
        <v>63</v>
      </c>
      <c r="C179" s="1">
        <v>456</v>
      </c>
      <c r="D179" s="1">
        <v>53706.450000000244</v>
      </c>
      <c r="E179" s="1">
        <v>597</v>
      </c>
      <c r="F179" s="1">
        <v>89.960552763819507</v>
      </c>
      <c r="G179" s="1">
        <v>6</v>
      </c>
      <c r="H179" s="1">
        <v>5.49</v>
      </c>
    </row>
    <row r="180" spans="1:8" ht="15.6" x14ac:dyDescent="0.35">
      <c r="A180" s="13">
        <v>43221</v>
      </c>
      <c r="B180" s="1" t="s">
        <v>76</v>
      </c>
      <c r="C180" s="1">
        <v>399</v>
      </c>
      <c r="D180" s="1">
        <v>50631.830000000169</v>
      </c>
      <c r="E180" s="1">
        <v>453</v>
      </c>
      <c r="F180" s="1">
        <v>111.77004415011075</v>
      </c>
      <c r="G180" s="1">
        <v>7</v>
      </c>
      <c r="H180" s="1">
        <v>5.18</v>
      </c>
    </row>
    <row r="181" spans="1:8" ht="15.6" x14ac:dyDescent="0.35">
      <c r="A181" s="13">
        <v>43221</v>
      </c>
      <c r="B181" s="1" t="s">
        <v>74</v>
      </c>
      <c r="C181" s="1">
        <v>295</v>
      </c>
      <c r="D181" s="1">
        <v>40851.440000000111</v>
      </c>
      <c r="E181" s="1">
        <v>308</v>
      </c>
      <c r="F181" s="1">
        <v>132.63454545454582</v>
      </c>
      <c r="G181" s="1">
        <v>8</v>
      </c>
      <c r="H181" s="1">
        <v>4.18</v>
      </c>
    </row>
    <row r="182" spans="1:8" ht="15.6" x14ac:dyDescent="0.35">
      <c r="A182" s="13">
        <v>43221</v>
      </c>
      <c r="B182" s="1" t="s">
        <v>70</v>
      </c>
      <c r="C182" s="1">
        <v>227</v>
      </c>
      <c r="D182" s="1">
        <v>37700.79000000011</v>
      </c>
      <c r="E182" s="1">
        <v>288</v>
      </c>
      <c r="F182" s="1">
        <v>130.90552083333372</v>
      </c>
      <c r="G182" s="1">
        <v>9</v>
      </c>
      <c r="H182" s="1">
        <v>3.86</v>
      </c>
    </row>
    <row r="183" spans="1:8" ht="15.6" x14ac:dyDescent="0.35">
      <c r="A183" s="13">
        <v>43221</v>
      </c>
      <c r="B183" s="1" t="s">
        <v>69</v>
      </c>
      <c r="C183" s="1">
        <v>218</v>
      </c>
      <c r="D183" s="1">
        <v>33253.650000000067</v>
      </c>
      <c r="E183" s="1">
        <v>239</v>
      </c>
      <c r="F183" s="1">
        <v>139.13661087866137</v>
      </c>
      <c r="G183" s="1">
        <v>10</v>
      </c>
      <c r="H183" s="1">
        <v>3.4</v>
      </c>
    </row>
    <row r="184" spans="1:8" ht="15.6" x14ac:dyDescent="0.35">
      <c r="A184" s="13">
        <v>43252</v>
      </c>
      <c r="B184" s="1" t="s">
        <v>62</v>
      </c>
      <c r="C184" s="1">
        <v>790</v>
      </c>
      <c r="D184" s="1">
        <v>106745.72000000019</v>
      </c>
      <c r="E184" s="1">
        <v>875</v>
      </c>
      <c r="F184" s="1">
        <v>121.99510857142879</v>
      </c>
      <c r="G184" s="1">
        <v>1</v>
      </c>
      <c r="H184" s="1">
        <v>12.47</v>
      </c>
    </row>
    <row r="185" spans="1:8" ht="15.6" x14ac:dyDescent="0.35">
      <c r="A185" s="13">
        <v>43252</v>
      </c>
      <c r="B185" s="1" t="s">
        <v>67</v>
      </c>
      <c r="C185" s="1">
        <v>444</v>
      </c>
      <c r="D185" s="1">
        <v>85027.569999999876</v>
      </c>
      <c r="E185" s="1">
        <v>477</v>
      </c>
      <c r="F185" s="1">
        <v>178.25486373165592</v>
      </c>
      <c r="G185" s="1">
        <v>2</v>
      </c>
      <c r="H185" s="1">
        <v>9.93</v>
      </c>
    </row>
    <row r="186" spans="1:8" ht="15.6" x14ac:dyDescent="0.35">
      <c r="A186" s="13">
        <v>43252</v>
      </c>
      <c r="B186" s="1" t="s">
        <v>75</v>
      </c>
      <c r="C186" s="1">
        <v>649</v>
      </c>
      <c r="D186" s="1">
        <v>70857.080000000089</v>
      </c>
      <c r="E186" s="1">
        <v>764</v>
      </c>
      <c r="F186" s="1">
        <v>92.744869109947757</v>
      </c>
      <c r="G186" s="1">
        <v>3</v>
      </c>
      <c r="H186" s="1">
        <v>8.2799999999999994</v>
      </c>
    </row>
    <row r="187" spans="1:8" ht="15.6" x14ac:dyDescent="0.35">
      <c r="A187" s="13">
        <v>43252</v>
      </c>
      <c r="B187" s="1" t="s">
        <v>77</v>
      </c>
      <c r="C187" s="1">
        <v>464</v>
      </c>
      <c r="D187" s="1">
        <v>55912.610000000059</v>
      </c>
      <c r="E187" s="1">
        <v>577</v>
      </c>
      <c r="F187" s="1">
        <v>96.902270363951573</v>
      </c>
      <c r="G187" s="1">
        <v>4</v>
      </c>
      <c r="H187" s="1">
        <v>6.53</v>
      </c>
    </row>
    <row r="188" spans="1:8" ht="15.6" x14ac:dyDescent="0.35">
      <c r="A188" s="13">
        <v>43252</v>
      </c>
      <c r="B188" s="1" t="s">
        <v>74</v>
      </c>
      <c r="C188" s="1">
        <v>268</v>
      </c>
      <c r="D188" s="1">
        <v>44962.590000000084</v>
      </c>
      <c r="E188" s="1">
        <v>295</v>
      </c>
      <c r="F188" s="1">
        <v>152.41555932203417</v>
      </c>
      <c r="G188" s="1">
        <v>5</v>
      </c>
      <c r="H188" s="1">
        <v>5.25</v>
      </c>
    </row>
    <row r="189" spans="1:8" ht="15.6" x14ac:dyDescent="0.35">
      <c r="A189" s="13">
        <v>43252</v>
      </c>
      <c r="B189" s="1" t="s">
        <v>68</v>
      </c>
      <c r="C189" s="1">
        <v>371</v>
      </c>
      <c r="D189" s="1">
        <v>44916.010000000155</v>
      </c>
      <c r="E189" s="1">
        <v>419</v>
      </c>
      <c r="F189" s="1">
        <v>107.19811455847292</v>
      </c>
      <c r="G189" s="1">
        <v>6</v>
      </c>
      <c r="H189" s="1">
        <v>5.25</v>
      </c>
    </row>
    <row r="190" spans="1:8" ht="15.6" x14ac:dyDescent="0.35">
      <c r="A190" s="13">
        <v>43252</v>
      </c>
      <c r="B190" s="1" t="s">
        <v>63</v>
      </c>
      <c r="C190" s="1">
        <v>316</v>
      </c>
      <c r="D190" s="1">
        <v>42042.220000000118</v>
      </c>
      <c r="E190" s="1">
        <v>402</v>
      </c>
      <c r="F190" s="1">
        <v>104.58263681592069</v>
      </c>
      <c r="G190" s="1">
        <v>7</v>
      </c>
      <c r="H190" s="1">
        <v>4.91</v>
      </c>
    </row>
    <row r="191" spans="1:8" ht="15.6" x14ac:dyDescent="0.35">
      <c r="A191" s="13">
        <v>43252</v>
      </c>
      <c r="B191" s="1" t="s">
        <v>76</v>
      </c>
      <c r="C191" s="1">
        <v>352</v>
      </c>
      <c r="D191" s="1">
        <v>41806.37000000009</v>
      </c>
      <c r="E191" s="1">
        <v>401</v>
      </c>
      <c r="F191" s="1">
        <v>104.25528678304262</v>
      </c>
      <c r="G191" s="1">
        <v>8</v>
      </c>
      <c r="H191" s="1">
        <v>4.88</v>
      </c>
    </row>
    <row r="192" spans="1:8" ht="15.6" x14ac:dyDescent="0.35">
      <c r="A192" s="13">
        <v>43252</v>
      </c>
      <c r="B192" s="1" t="s">
        <v>69</v>
      </c>
      <c r="C192" s="1">
        <v>205</v>
      </c>
      <c r="D192" s="1">
        <v>30550.320000000105</v>
      </c>
      <c r="E192" s="1">
        <v>223</v>
      </c>
      <c r="F192" s="1">
        <v>136.99695067264622</v>
      </c>
      <c r="G192" s="1">
        <v>9</v>
      </c>
      <c r="H192" s="1">
        <v>3.57</v>
      </c>
    </row>
    <row r="193" spans="1:8" ht="15.6" x14ac:dyDescent="0.35">
      <c r="A193" s="13">
        <v>43252</v>
      </c>
      <c r="B193" s="1" t="s">
        <v>64</v>
      </c>
      <c r="C193" s="1">
        <v>166</v>
      </c>
      <c r="D193" s="1">
        <v>26963.93000000004</v>
      </c>
      <c r="E193" s="1">
        <v>186</v>
      </c>
      <c r="F193" s="1">
        <v>144.96736559139808</v>
      </c>
      <c r="G193" s="1">
        <v>10</v>
      </c>
      <c r="H193" s="1">
        <v>3.15</v>
      </c>
    </row>
    <row r="194" spans="1:8" ht="15.6" x14ac:dyDescent="0.35">
      <c r="A194" s="13">
        <v>43282</v>
      </c>
      <c r="B194" s="1" t="s">
        <v>62</v>
      </c>
      <c r="C194" s="1">
        <v>699</v>
      </c>
      <c r="D194" s="1">
        <v>103524.22000000016</v>
      </c>
      <c r="E194" s="1">
        <v>770</v>
      </c>
      <c r="F194" s="1">
        <v>134.44703896103917</v>
      </c>
      <c r="G194" s="1">
        <v>1</v>
      </c>
      <c r="H194" s="1">
        <v>11.93</v>
      </c>
    </row>
    <row r="195" spans="1:8" ht="15.6" x14ac:dyDescent="0.35">
      <c r="A195" s="13">
        <v>43282</v>
      </c>
      <c r="B195" s="1" t="s">
        <v>67</v>
      </c>
      <c r="C195" s="1">
        <v>507</v>
      </c>
      <c r="D195" s="1">
        <v>95164.78999999995</v>
      </c>
      <c r="E195" s="1">
        <v>521</v>
      </c>
      <c r="F195" s="1">
        <v>182.65794625719761</v>
      </c>
      <c r="G195" s="1">
        <v>2</v>
      </c>
      <c r="H195" s="1">
        <v>10.96</v>
      </c>
    </row>
    <row r="196" spans="1:8" ht="15.6" x14ac:dyDescent="0.35">
      <c r="A196" s="13">
        <v>43282</v>
      </c>
      <c r="B196" s="1" t="s">
        <v>77</v>
      </c>
      <c r="C196" s="1">
        <v>462</v>
      </c>
      <c r="D196" s="1">
        <v>62583.300000000047</v>
      </c>
      <c r="E196" s="1">
        <v>564</v>
      </c>
      <c r="F196" s="1">
        <v>110.9632978723405</v>
      </c>
      <c r="G196" s="1">
        <v>3</v>
      </c>
      <c r="H196" s="1">
        <v>7.21</v>
      </c>
    </row>
    <row r="197" spans="1:8" ht="15.6" x14ac:dyDescent="0.35">
      <c r="A197" s="13">
        <v>43282</v>
      </c>
      <c r="B197" s="1" t="s">
        <v>75</v>
      </c>
      <c r="C197" s="1">
        <v>511</v>
      </c>
      <c r="D197" s="1">
        <v>54405.230000000214</v>
      </c>
      <c r="E197" s="1">
        <v>617</v>
      </c>
      <c r="F197" s="1">
        <v>88.177034035656746</v>
      </c>
      <c r="G197" s="1">
        <v>4</v>
      </c>
      <c r="H197" s="1">
        <v>6.27</v>
      </c>
    </row>
    <row r="198" spans="1:8" ht="15.6" x14ac:dyDescent="0.35">
      <c r="A198" s="13">
        <v>43282</v>
      </c>
      <c r="B198" s="1" t="s">
        <v>68</v>
      </c>
      <c r="C198" s="1">
        <v>410</v>
      </c>
      <c r="D198" s="1">
        <v>54015.890000000123</v>
      </c>
      <c r="E198" s="1">
        <v>460</v>
      </c>
      <c r="F198" s="1">
        <v>117.42584782608722</v>
      </c>
      <c r="G198" s="1">
        <v>5</v>
      </c>
      <c r="H198" s="1">
        <v>6.22</v>
      </c>
    </row>
    <row r="199" spans="1:8" ht="15.6" x14ac:dyDescent="0.35">
      <c r="A199" s="13">
        <v>43282</v>
      </c>
      <c r="B199" s="1" t="s">
        <v>63</v>
      </c>
      <c r="C199" s="1">
        <v>343</v>
      </c>
      <c r="D199" s="1">
        <v>45393.590000000157</v>
      </c>
      <c r="E199" s="1">
        <v>436</v>
      </c>
      <c r="F199" s="1">
        <v>104.11373853211045</v>
      </c>
      <c r="G199" s="1">
        <v>6</v>
      </c>
      <c r="H199" s="1">
        <v>5.23</v>
      </c>
    </row>
    <row r="200" spans="1:8" ht="15.6" x14ac:dyDescent="0.35">
      <c r="A200" s="13">
        <v>43282</v>
      </c>
      <c r="B200" s="1" t="s">
        <v>74</v>
      </c>
      <c r="C200" s="1">
        <v>324</v>
      </c>
      <c r="D200" s="1">
        <v>43466.790000000074</v>
      </c>
      <c r="E200" s="1">
        <v>341</v>
      </c>
      <c r="F200" s="1">
        <v>127.46859237536678</v>
      </c>
      <c r="G200" s="1">
        <v>7</v>
      </c>
      <c r="H200" s="1">
        <v>5.01</v>
      </c>
    </row>
    <row r="201" spans="1:8" ht="15.6" x14ac:dyDescent="0.35">
      <c r="A201" s="13">
        <v>43282</v>
      </c>
      <c r="B201" s="1" t="s">
        <v>76</v>
      </c>
      <c r="C201" s="1">
        <v>381</v>
      </c>
      <c r="D201" s="1">
        <v>41063.310000000129</v>
      </c>
      <c r="E201" s="1">
        <v>418</v>
      </c>
      <c r="F201" s="1">
        <v>98.237583732057729</v>
      </c>
      <c r="G201" s="1">
        <v>8</v>
      </c>
      <c r="H201" s="1">
        <v>4.7300000000000004</v>
      </c>
    </row>
    <row r="202" spans="1:8" ht="15.6" x14ac:dyDescent="0.35">
      <c r="A202" s="13">
        <v>43282</v>
      </c>
      <c r="B202" s="1" t="s">
        <v>81</v>
      </c>
      <c r="C202" s="1">
        <v>202</v>
      </c>
      <c r="D202" s="1">
        <v>26492.680000000084</v>
      </c>
      <c r="E202" s="1">
        <v>221</v>
      </c>
      <c r="F202" s="1">
        <v>119.87638009049812</v>
      </c>
      <c r="G202" s="1">
        <v>9</v>
      </c>
      <c r="H202" s="1">
        <v>3.05</v>
      </c>
    </row>
    <row r="203" spans="1:8" ht="15.6" x14ac:dyDescent="0.35">
      <c r="A203" s="13">
        <v>43282</v>
      </c>
      <c r="B203" s="1" t="s">
        <v>70</v>
      </c>
      <c r="C203" s="1">
        <v>152</v>
      </c>
      <c r="D203" s="1">
        <v>25639.880000000056</v>
      </c>
      <c r="E203" s="1">
        <v>177</v>
      </c>
      <c r="F203" s="1">
        <v>144.85807909604551</v>
      </c>
      <c r="G203" s="1">
        <v>10</v>
      </c>
      <c r="H203" s="1">
        <v>2.95</v>
      </c>
    </row>
    <row r="204" spans="1:8" ht="15.6" x14ac:dyDescent="0.35">
      <c r="A204" s="13">
        <v>43313</v>
      </c>
      <c r="B204" s="1" t="s">
        <v>62</v>
      </c>
      <c r="C204" s="1">
        <v>765</v>
      </c>
      <c r="D204" s="1">
        <v>119391.00999999989</v>
      </c>
      <c r="E204" s="1">
        <v>835</v>
      </c>
      <c r="F204" s="1">
        <v>142.9832455089819</v>
      </c>
      <c r="G204" s="1">
        <v>1</v>
      </c>
      <c r="H204" s="1">
        <v>14.24</v>
      </c>
    </row>
    <row r="205" spans="1:8" ht="15.6" x14ac:dyDescent="0.35">
      <c r="A205" s="13">
        <v>43313</v>
      </c>
      <c r="B205" s="1" t="s">
        <v>67</v>
      </c>
      <c r="C205" s="1">
        <v>387</v>
      </c>
      <c r="D205" s="1">
        <v>69767.06000000007</v>
      </c>
      <c r="E205" s="1">
        <v>411</v>
      </c>
      <c r="F205" s="1">
        <v>169.74953771289555</v>
      </c>
      <c r="G205" s="1">
        <v>2</v>
      </c>
      <c r="H205" s="1">
        <v>8.32</v>
      </c>
    </row>
    <row r="206" spans="1:8" ht="15.6" x14ac:dyDescent="0.35">
      <c r="A206" s="13">
        <v>43313</v>
      </c>
      <c r="B206" s="1" t="s">
        <v>75</v>
      </c>
      <c r="C206" s="1">
        <v>555</v>
      </c>
      <c r="D206" s="1">
        <v>60891.090000000142</v>
      </c>
      <c r="E206" s="1">
        <v>655</v>
      </c>
      <c r="F206" s="1">
        <v>92.963496183206317</v>
      </c>
      <c r="G206" s="1">
        <v>3</v>
      </c>
      <c r="H206" s="1">
        <v>7.26</v>
      </c>
    </row>
    <row r="207" spans="1:8" ht="15.6" x14ac:dyDescent="0.35">
      <c r="A207" s="13">
        <v>43313</v>
      </c>
      <c r="B207" s="1" t="s">
        <v>77</v>
      </c>
      <c r="C207" s="1">
        <v>549</v>
      </c>
      <c r="D207" s="1">
        <v>58763.360000000161</v>
      </c>
      <c r="E207" s="1">
        <v>616</v>
      </c>
      <c r="F207" s="1">
        <v>95.395064935065193</v>
      </c>
      <c r="G207" s="1">
        <v>4</v>
      </c>
      <c r="H207" s="1">
        <v>7.01</v>
      </c>
    </row>
    <row r="208" spans="1:8" ht="15.6" x14ac:dyDescent="0.35">
      <c r="A208" s="13">
        <v>43313</v>
      </c>
      <c r="B208" s="1" t="s">
        <v>68</v>
      </c>
      <c r="C208" s="1">
        <v>432</v>
      </c>
      <c r="D208" s="1">
        <v>50860.180000000189</v>
      </c>
      <c r="E208" s="1">
        <v>471</v>
      </c>
      <c r="F208" s="1">
        <v>107.98339702760126</v>
      </c>
      <c r="G208" s="1">
        <v>5</v>
      </c>
      <c r="H208" s="1">
        <v>6.07</v>
      </c>
    </row>
    <row r="209" spans="1:8" ht="15.6" x14ac:dyDescent="0.35">
      <c r="A209" s="13">
        <v>43313</v>
      </c>
      <c r="B209" s="1" t="s">
        <v>74</v>
      </c>
      <c r="C209" s="1">
        <v>345</v>
      </c>
      <c r="D209" s="1">
        <v>45032.580000000075</v>
      </c>
      <c r="E209" s="1">
        <v>370</v>
      </c>
      <c r="F209" s="1">
        <v>121.70967567567588</v>
      </c>
      <c r="G209" s="1">
        <v>6</v>
      </c>
      <c r="H209" s="1">
        <v>5.37</v>
      </c>
    </row>
    <row r="210" spans="1:8" ht="15.6" x14ac:dyDescent="0.35">
      <c r="A210" s="13">
        <v>43313</v>
      </c>
      <c r="B210" s="1" t="s">
        <v>63</v>
      </c>
      <c r="C210" s="1">
        <v>341</v>
      </c>
      <c r="D210" s="1">
        <v>41168.550000000163</v>
      </c>
      <c r="E210" s="1">
        <v>430</v>
      </c>
      <c r="F210" s="1">
        <v>95.740813953488754</v>
      </c>
      <c r="G210" s="1">
        <v>7</v>
      </c>
      <c r="H210" s="1">
        <v>4.91</v>
      </c>
    </row>
    <row r="211" spans="1:8" ht="15.6" x14ac:dyDescent="0.35">
      <c r="A211" s="13">
        <v>43313</v>
      </c>
      <c r="B211" s="1" t="s">
        <v>76</v>
      </c>
      <c r="C211" s="1">
        <v>380</v>
      </c>
      <c r="D211" s="1">
        <v>40052.640000000138</v>
      </c>
      <c r="E211" s="1">
        <v>415</v>
      </c>
      <c r="F211" s="1">
        <v>96.512385542169</v>
      </c>
      <c r="G211" s="1">
        <v>8</v>
      </c>
      <c r="H211" s="1">
        <v>4.78</v>
      </c>
    </row>
    <row r="212" spans="1:8" ht="15.6" x14ac:dyDescent="0.35">
      <c r="A212" s="13">
        <v>43313</v>
      </c>
      <c r="B212" s="1" t="s">
        <v>81</v>
      </c>
      <c r="C212" s="1">
        <v>240</v>
      </c>
      <c r="D212" s="1">
        <v>36572.910000000062</v>
      </c>
      <c r="E212" s="1">
        <v>271</v>
      </c>
      <c r="F212" s="1">
        <v>134.95538745387478</v>
      </c>
      <c r="G212" s="1">
        <v>9</v>
      </c>
      <c r="H212" s="1">
        <v>4.3600000000000003</v>
      </c>
    </row>
    <row r="213" spans="1:8" ht="15.6" x14ac:dyDescent="0.35">
      <c r="A213" s="13">
        <v>43313</v>
      </c>
      <c r="B213" s="1" t="s">
        <v>64</v>
      </c>
      <c r="C213" s="1">
        <v>203</v>
      </c>
      <c r="D213" s="1">
        <v>24839.74000000002</v>
      </c>
      <c r="E213" s="1">
        <v>218</v>
      </c>
      <c r="F213" s="1">
        <v>113.94376146789</v>
      </c>
      <c r="G213" s="1">
        <v>10</v>
      </c>
      <c r="H213" s="1">
        <v>2.96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CD7B-36DB-4199-A24C-B1FBB1B075B4}">
  <dimension ref="A1:S27"/>
  <sheetViews>
    <sheetView workbookViewId="0">
      <selection activeCell="S27" sqref="S27"/>
    </sheetView>
  </sheetViews>
  <sheetFormatPr defaultRowHeight="14.4" x14ac:dyDescent="0.3"/>
  <cols>
    <col min="1" max="1" width="29.6640625" bestFit="1" customWidth="1"/>
    <col min="2" max="2" width="11.6640625" bestFit="1" customWidth="1"/>
    <col min="3" max="4" width="13.88671875" bestFit="1" customWidth="1"/>
    <col min="5" max="7" width="9.5546875" bestFit="1" customWidth="1"/>
    <col min="8" max="8" width="13.88671875" bestFit="1" customWidth="1"/>
    <col min="9" max="9" width="16.33203125" bestFit="1" customWidth="1"/>
    <col min="10" max="10" width="13.88671875" bestFit="1" customWidth="1"/>
    <col min="11" max="11" width="11.6640625" bestFit="1" customWidth="1"/>
    <col min="12" max="12" width="13.88671875" bestFit="1" customWidth="1"/>
    <col min="13" max="13" width="11.6640625" bestFit="1" customWidth="1"/>
    <col min="14" max="14" width="16.109375" bestFit="1" customWidth="1"/>
    <col min="15" max="15" width="9.5546875" bestFit="1" customWidth="1"/>
    <col min="17" max="17" width="13.88671875" bestFit="1" customWidth="1"/>
    <col min="18" max="18" width="12.33203125" bestFit="1" customWidth="1"/>
    <col min="19" max="19" width="13.88671875" bestFit="1" customWidth="1"/>
  </cols>
  <sheetData>
    <row r="1" spans="1:15" ht="15.6" x14ac:dyDescent="0.35">
      <c r="A1" s="7" t="s">
        <v>105</v>
      </c>
      <c r="B1" s="7" t="s">
        <v>106</v>
      </c>
      <c r="C1" s="7" t="s">
        <v>107</v>
      </c>
      <c r="D1" s="7" t="s">
        <v>108</v>
      </c>
      <c r="E1" s="7" t="s">
        <v>109</v>
      </c>
      <c r="F1" s="7" t="s">
        <v>110</v>
      </c>
      <c r="G1" s="7" t="s">
        <v>111</v>
      </c>
      <c r="H1" s="7" t="s">
        <v>112</v>
      </c>
      <c r="I1" s="7" t="s">
        <v>113</v>
      </c>
      <c r="J1" s="7" t="s">
        <v>114</v>
      </c>
      <c r="K1" s="15" t="s">
        <v>115</v>
      </c>
      <c r="L1" s="15" t="s">
        <v>116</v>
      </c>
      <c r="M1" s="7" t="s">
        <v>117</v>
      </c>
      <c r="N1" s="15" t="s">
        <v>119</v>
      </c>
      <c r="O1" s="15" t="s">
        <v>118</v>
      </c>
    </row>
    <row r="2" spans="1:15" ht="15.6" x14ac:dyDescent="0.35">
      <c r="A2" s="15" t="str" cm="1">
        <f t="array" ref="A2:A21">_xlfn.UNIQUE('表4 商品品类销售趋势分析'!$B$2:$B$213)</f>
        <v>beleza_saude</v>
      </c>
      <c r="B2" s="16">
        <f>COUNTIF('表4 商品品类销售趋势分析'!$B:$B, A2)</f>
        <v>22</v>
      </c>
      <c r="C2" s="17">
        <f>_xlfn.MINIFS('表4 商品品类销售趋势分析'!$A:$A, '表4 商品品类销售趋势分析'!$B:$B, A2)</f>
        <v>42614</v>
      </c>
      <c r="D2" s="17">
        <f>_xlfn.MAXIFS('表4 商品品类销售趋势分析'!$A:$A,'表4 商品品类销售趋势分析'!$B:$B, A2)</f>
        <v>43313</v>
      </c>
      <c r="E2" s="7">
        <f>IFERROR(DATEDIF(C2,D2,"M"),0)</f>
        <v>23</v>
      </c>
      <c r="F2" s="15">
        <f>_xlfn.MINIFS('表4 商品品类销售趋势分析'!$G:$G,'表4 商品品类销售趋势分析'!$B:$B, A2)</f>
        <v>1</v>
      </c>
      <c r="G2" s="7">
        <f>_xlfn.MAXIFS('表4 商品品类销售趋势分析'!$G:$G,'表4 商品品类销售趋势分析'!$B:$B, A2)</f>
        <v>6</v>
      </c>
      <c r="H2" s="7">
        <f>IF(B2&gt;1, G2-F2, 0)</f>
        <v>5</v>
      </c>
      <c r="I2" s="18">
        <f>SUMIFS('表4 商品品类销售趋势分析'!$D:$D,'表4 商品品类销售趋势分析'!$B:$B, A2)</f>
        <v>1233131.7200000007</v>
      </c>
      <c r="J2" s="19">
        <f>(11-F2)/10*0.3+(I2/MAX($I$2:$I$200))*0.4+(B2/MAX($B$2:$B$200))*0.3</f>
        <v>1</v>
      </c>
      <c r="K2" s="15" t="str" cm="1">
        <f t="array" ref="K2">_xlfn.LET(_xlpm.上榜月份,_xlfn._xlws.FILTER('表4 商品品类销售趋势分析'!$A$2:$A$2000,'表4 商品品类销售趋势分析'!$B$2:$B$2000=A2)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2" s="20">
        <f>B2/(DATEDIF(MIN('表4 商品品类销售趋势分析'!$A$2:$A$2000),MAX('表4 商品品类销售趋势分析'!$A$2:$A$2000),"M")+1)</f>
        <v>0.91666666666666663</v>
      </c>
      <c r="M2" s="15" t="str" cm="1">
        <f t="array" ref="M2">_xlfn.SWITCH(TRUE,B2&lt;=3,"短暂活跃型",B2&lt;=8,"间歇活跃型",E2&lt;=6,"集中爆发型","长期稳定型")</f>
        <v>长期稳定型</v>
      </c>
      <c r="N2" s="20" cm="1">
        <f t="array" ref="N2">_xlfn.LET(_xlpm.dates,_xlfn._xlws.FILTER('表4 商品品类销售趋势分析'!$A$2:$A$2000,'表4 商品品类销售趋势分析'!$B$2:$B$2000=A2),_xlpm.months,MONTH(_xlpm.dates),_xlpm.n,COUNT(_xlpm.months),IF(_xlpm.n&lt;=1,0,_xlfn.LET(_xlpm.rad,RADIANS((_xlpm.months-1)*30),_xlpm.R,SQRT(AVERAGE(COS(_xlpm.rad))^2+AVERAGE(SIN(_xlpm.rad))^2),_xlpm.R)))</f>
        <v>8.7811438753551699E-2</v>
      </c>
      <c r="O2" s="15" t="str" cm="1">
        <f t="array" ref="O2">IF(B2&gt;=2,_xlfn.LET(_xlpm.排名数据,_xlfn._xlws.FILTER('表4 商品品类销售趋势分析'!$G$2:$G$2000,'表4 商品品类销售趋势分析'!$B$2:$B$2000=A2),_xlpm.时间数据,_xlfn._xlws.FILTER('表4 商品品类销售趋势分析'!$A$2:$A$2000,'表4 商品品类销售趋势分析'!$B$2:$B$2000=A2)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平稳趋势</v>
      </c>
    </row>
    <row r="3" spans="1:15" ht="15.6" x14ac:dyDescent="0.35">
      <c r="A3" s="7" t="str">
        <v>moveis_decoracao</v>
      </c>
      <c r="B3" s="16">
        <f>COUNTIF('表4 商品品类销售趋势分析'!B:B, A3)</f>
        <v>21</v>
      </c>
      <c r="C3" s="17">
        <f>_xlfn.MINIFS('表4 商品品类销售趋势分析'!$A:$A, '表4 商品品类销售趋势分析'!$B:$B, A3)</f>
        <v>42644</v>
      </c>
      <c r="D3" s="17">
        <f>_xlfn.MAXIFS('表4 商品品类销售趋势分析'!$A:$A,'表4 商品品类销售趋势分析'!$B:$B, A3)</f>
        <v>43313</v>
      </c>
      <c r="E3" s="7">
        <f t="shared" ref="E3:E21" si="0">IFERROR(DATEDIF(C3,D3,"M"),0)</f>
        <v>22</v>
      </c>
      <c r="F3" s="15">
        <f>_xlfn.MINIFS('表4 商品品类销售趋势分析'!$G:$G,'表4 商品品类销售趋势分析'!$B:$B, A3)</f>
        <v>1</v>
      </c>
      <c r="G3" s="7">
        <f>_xlfn.MAXIFS('表4 商品品类销售趋势分析'!$G:$G,'表4 商品品类销售趋势分析'!$B:$B, A3)</f>
        <v>10</v>
      </c>
      <c r="H3" s="7">
        <f t="shared" ref="H3:H21" si="1">IF(B3&gt;1, G3-F3, 0)</f>
        <v>9</v>
      </c>
      <c r="I3" s="18">
        <f>SUMIFS('表4 商品品类销售趋势分析'!$D:$D,'表4 商品品类销售趋势分析'!$B:$B, A3)</f>
        <v>711927.69000000239</v>
      </c>
      <c r="J3" s="19">
        <f>(11-F3)/10*0.3+(I3/MAX($I$2:$I$200))*0.4+(B3/MAX($B$2:$B$200))*0.3</f>
        <v>0.8172968541061828</v>
      </c>
      <c r="K3" s="15" t="str" cm="1">
        <f t="array" ref="K3">_xlfn.LET(_xlpm.上榜月份,_xlfn._xlws.FILTER('表4 商品品类销售趋势分析'!$A$2:$A$2000,'表4 商品品类销售趋势分析'!$B$2:$B$2000=A3)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3" s="20">
        <f>B3/(DATEDIF(MIN('表4 商品品类销售趋势分析'!$A$2:$A$2000),MAX('表4 商品品类销售趋势分析'!$A$2:$A$2000),"M")+1)</f>
        <v>0.875</v>
      </c>
      <c r="M3" s="15" t="str" cm="1">
        <f t="array" ref="M3">_xlfn.SWITCH(TRUE,B3&lt;=3,"短暂活跃型",B3&lt;=8,"间歇活跃型",E3&lt;=6,"集中爆发型","长期稳定型")</f>
        <v>长期稳定型</v>
      </c>
      <c r="N3" s="20" cm="1">
        <f t="array" ref="N3">_xlfn.LET(_xlpm.dates,_xlfn._xlws.FILTER('表4 商品品类销售趋势分析'!$A$2:$A$2000,'表4 商品品类销售趋势分析'!$B$2:$B$2000=A3),_xlpm.months,MONTH(_xlpm.dates),_xlpm.n,COUNT(_xlpm.months),IF(_xlpm.n&lt;=1,0,_xlfn.LET(_xlpm.rad,RADIANS((_xlpm.months-1)*30),_xlpm.R,SQRT(AVERAGE(COS(_xlpm.rad))^2+AVERAGE(SIN(_xlpm.rad))^2),_xlpm.R)))</f>
        <v>0.11400810337958706</v>
      </c>
      <c r="O3" s="15" t="str" cm="1">
        <f t="array" ref="O3">IF(B3&gt;=2,_xlfn.LET(_xlpm.排名数据,_xlfn._xlws.FILTER('表4 商品品类销售趋势分析'!$G$2:$G$2000,'表4 商品品类销售趋势分析'!$B$2:$B$2000=A3),_xlpm.时间数据,_xlfn._xlws.FILTER('表4 商品品类销售趋势分析'!$A$2:$A$2000,'表4 商品品类销售趋势分析'!$B$2:$B$2000=A3)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下降趋势</v>
      </c>
    </row>
    <row r="4" spans="1:15" ht="15.6" x14ac:dyDescent="0.35">
      <c r="A4" s="7" t="str">
        <v>perfumaria</v>
      </c>
      <c r="B4" s="16">
        <f>COUNTIF('表4 商品品类销售趋势分析'!B:B, A4)</f>
        <v>7</v>
      </c>
      <c r="C4" s="17">
        <f>_xlfn.MINIFS('表4 商品品类销售趋势分析'!$A:$A, '表4 商品品类销售趋势分析'!$B:$B, A4)</f>
        <v>42644</v>
      </c>
      <c r="D4" s="17">
        <f>_xlfn.MAXIFS('表4 商品品类销售趋势分析'!$A:$A,'表4 商品品类销售趋势分析'!$B:$B, A4)</f>
        <v>43313</v>
      </c>
      <c r="E4" s="7">
        <f t="shared" si="0"/>
        <v>22</v>
      </c>
      <c r="F4" s="15">
        <f>_xlfn.MINIFS('表4 商品品类销售趋势分析'!$G:$G,'表4 商品品类销售趋势分析'!$B:$B, A4)</f>
        <v>2</v>
      </c>
      <c r="G4" s="7">
        <f>_xlfn.MAXIFS('表4 商品品类销售趋势分析'!$G:$G,'表4 商品品类销售趋势分析'!$B:$B, A4)</f>
        <v>10</v>
      </c>
      <c r="H4" s="7">
        <f t="shared" si="1"/>
        <v>8</v>
      </c>
      <c r="I4" s="18">
        <f>SUMIFS('表4 商品品类销售趋势分析'!$D:$D,'表4 商品品类销售趋势分析'!$B:$B, A4)</f>
        <v>124744.3400000001</v>
      </c>
      <c r="J4" s="19">
        <f t="shared" ref="J4:J21" si="2">(11-F4)/10*0.3+(I4/MAX($I$2:$I$200))*0.4+(B4/MAX($B$2:$B$200))*0.3</f>
        <v>0.40591878393833047</v>
      </c>
      <c r="K4" s="15" t="str" cm="1">
        <f t="array" ref="K4">_xlfn.LET(_xlpm.上榜月份,_xlfn._xlws.FILTER('表4 商品品类销售趋势分析'!$A$2:$A$2000,'表4 商品品类销售趋势分析'!$B$2:$B$2000=A4),_xlpm.月份数字,MONTH(_xlpm.上榜月份),_xlpm.季节分布,FREQUENCY(_xlpm.月份数字,{3,6,9}),_xlpm.季节名,{"春季","夏季","秋季","冬季"},INDEX(_xlpm.季节名,MATCH(MAX(_xlpm.季节分布),_xlpm.季节分布,0)))</f>
        <v>夏季</v>
      </c>
      <c r="L4" s="20">
        <f>B4/(DATEDIF(MIN('表4 商品品类销售趋势分析'!$A$2:$A$2000),MAX('表4 商品品类销售趋势分析'!$A$2:$A$2000),"M")+1)</f>
        <v>0.29166666666666669</v>
      </c>
      <c r="M4" s="15" t="str" cm="1">
        <f t="array" ref="M4">_xlfn.SWITCH(TRUE,B4&lt;=3,"短暂活跃型",B4&lt;=8,"间歇活跃型",E4&lt;=6,"集中爆发型","长期稳定型")</f>
        <v>间歇活跃型</v>
      </c>
      <c r="N4" s="20" cm="1">
        <f t="array" ref="N4">_xlfn.LET(_xlpm.dates,_xlfn._xlws.FILTER('表4 商品品类销售趋势分析'!$A$2:$A$2000,'表4 商品品类销售趋势分析'!$B$2:$B$2000=A4),_xlpm.months,MONTH(_xlpm.dates),_xlpm.n,COUNT(_xlpm.months),IF(_xlpm.n&lt;=1,0,_xlfn.LET(_xlpm.rad,RADIANS((_xlpm.months-1)*30),_xlpm.R,SQRT(AVERAGE(COS(_xlpm.rad))^2+AVERAGE(SIN(_xlpm.rad))^2),_xlpm.R)))</f>
        <v>0.25037917244526819</v>
      </c>
      <c r="O4" s="15" t="str" cm="1">
        <f t="array" ref="O4">IF(B4&gt;=2,_xlfn.LET(_xlpm.排名数据,_xlfn._xlws.FILTER('表4 商品品类销售趋势分析'!$G$2:$G$2000,'表4 商品品类销售趋势分析'!$B$2:$B$2000=A4),_xlpm.时间数据,_xlfn._xlws.FILTER('表4 商品品类销售趋势分析'!$A$2:$A$2000,'表4 商品品类销售趋势分析'!$B$2:$B$2000=A4)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下降趋势</v>
      </c>
    </row>
    <row r="5" spans="1:15" ht="15.6" x14ac:dyDescent="0.35">
      <c r="A5" s="7" t="str">
        <v>brinquedos</v>
      </c>
      <c r="B5" s="16">
        <f>COUNTIF('表4 商品品类销售趋势分析'!B:B, A5)</f>
        <v>8</v>
      </c>
      <c r="C5" s="17">
        <f>_xlfn.MINIFS('表4 商品品类销售趋势分析'!$A:$A, '表4 商品品类销售趋势分析'!$B:$B, A5)</f>
        <v>42644</v>
      </c>
      <c r="D5" s="17">
        <f>_xlfn.MAXIFS('表4 商品品类销售趋势分析'!$A:$A,'表4 商品品类销售趋势分析'!$B:$B, A5)</f>
        <v>43070</v>
      </c>
      <c r="E5" s="7">
        <f t="shared" si="0"/>
        <v>14</v>
      </c>
      <c r="F5" s="15">
        <f>_xlfn.MINIFS('表4 商品品类销售趋势分析'!$G:$G,'表4 商品品类销售趋势分析'!$B:$B, A5)</f>
        <v>3</v>
      </c>
      <c r="G5" s="7">
        <f>_xlfn.MAXIFS('表4 商品品类销售趋势分析'!$G:$G,'表4 商品品类销售趋势分析'!$B:$B, A5)</f>
        <v>10</v>
      </c>
      <c r="H5" s="7">
        <f t="shared" si="1"/>
        <v>7</v>
      </c>
      <c r="I5" s="18">
        <f>SUMIFS('表4 商品品类销售趋势分析'!$D:$D,'表4 商品品类销售趋势分析'!$B:$B, A5)</f>
        <v>235417.85000000056</v>
      </c>
      <c r="J5" s="19">
        <f t="shared" si="2"/>
        <v>0.42545512750546755</v>
      </c>
      <c r="K5" s="15" t="str" cm="1">
        <f t="array" ref="K5">_xlfn.LET(_xlpm.上榜月份,_xlfn._xlws.FILTER('表4 商品品类销售趋势分析'!$A$2:$A$2000,'表4 商品品类销售趋势分析'!$B$2:$B$2000=A5),_xlpm.月份数字,MONTH(_xlpm.上榜月份),_xlpm.季节分布,FREQUENCY(_xlpm.月份数字,{3,6,9}),_xlpm.季节名,{"春季","夏季","秋季","冬季"},INDEX(_xlpm.季节名,MATCH(MAX(_xlpm.季节分布),_xlpm.季节分布,0)))</f>
        <v>冬季</v>
      </c>
      <c r="L5" s="20">
        <f>B5/(DATEDIF(MIN('表4 商品品类销售趋势分析'!$A$2:$A$2000),MAX('表4 商品品类销售趋势分析'!$A$2:$A$2000),"M")+1)</f>
        <v>0.33333333333333331</v>
      </c>
      <c r="M5" s="15" t="str" cm="1">
        <f t="array" ref="M5">_xlfn.SWITCH(TRUE,B5&lt;=3,"短暂活跃型",B5&lt;=8,"间歇活跃型",E5&lt;=6,"集中爆发型","长期稳定型")</f>
        <v>间歇活跃型</v>
      </c>
      <c r="N5" s="20" cm="1">
        <f t="array" ref="N5">_xlfn.LET(_xlpm.dates,_xlfn._xlws.FILTER('表4 商品品类销售趋势分析'!$A$2:$A$2000,'表4 商品品类销售趋势分析'!$B$2:$B$2000=A5),_xlpm.months,MONTH(_xlpm.dates),_xlpm.n,COUNT(_xlpm.months),IF(_xlpm.n&lt;=1,0,_xlfn.LET(_xlpm.rad,RADIANS((_xlpm.months-1)*30),_xlpm.R,SQRT(AVERAGE(COS(_xlpm.rad))^2+AVERAGE(SIN(_xlpm.rad))^2),_xlpm.R)))</f>
        <v>0.42323349080209549</v>
      </c>
      <c r="O5" s="15" t="str" cm="1">
        <f t="array" ref="O5">IF(B5&gt;=2,_xlfn.LET(_xlpm.排名数据,_xlfn._xlws.FILTER('表4 商品品类销售趋势分析'!$G$2:$G$2000,'表4 商品品类销售趋势分析'!$B$2:$B$2000=A5),_xlpm.时间数据,_xlfn._xlws.FILTER('表4 商品品类销售趋势分析'!$A$2:$A$2000,'表4 商品品类销售趋势分析'!$B$2:$B$2000=A5)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上升趋势</v>
      </c>
    </row>
    <row r="6" spans="1:15" ht="15.6" x14ac:dyDescent="0.35">
      <c r="A6" s="7" t="str">
        <v>consoles_games</v>
      </c>
      <c r="B6" s="16">
        <f>COUNTIF('表4 商品品类销售趋势分析'!B:B, A6)</f>
        <v>1</v>
      </c>
      <c r="C6" s="17">
        <f>_xlfn.MINIFS('表4 商品品类销售趋势分析'!$A:$A, '表4 商品品类销售趋势分析'!$B:$B, A6)</f>
        <v>42644</v>
      </c>
      <c r="D6" s="17">
        <f>_xlfn.MAXIFS('表4 商品品类销售趋势分析'!$A:$A,'表4 商品品类销售趋势分析'!$B:$B, A6)</f>
        <v>42644</v>
      </c>
      <c r="E6" s="7">
        <f t="shared" si="0"/>
        <v>0</v>
      </c>
      <c r="F6" s="15">
        <f>_xlfn.MINIFS('表4 商品品类销售趋势分析'!$G:$G,'表4 商品品类销售趋势分析'!$B:$B, A6)</f>
        <v>4</v>
      </c>
      <c r="G6" s="7">
        <f>_xlfn.MAXIFS('表4 商品品类销售趋势分析'!$G:$G,'表4 商品品类销售趋势分析'!$B:$B, A6)</f>
        <v>4</v>
      </c>
      <c r="H6" s="7">
        <f t="shared" si="1"/>
        <v>0</v>
      </c>
      <c r="I6" s="18">
        <f>SUMIFS('表4 商品品类销售趋势分析'!$D:$D,'表4 商品品类销售趋势分析'!$B:$B, A6)</f>
        <v>3619.3599999999997</v>
      </c>
      <c r="J6" s="19">
        <f t="shared" si="2"/>
        <v>0.2248104020432258</v>
      </c>
      <c r="K6" s="15" t="str" cm="1">
        <f t="array" ref="K6">_xlfn.LET(_xlpm.上榜月份,_xlfn._xlws.FILTER('表4 商品品类销售趋势分析'!$A$2:$A$2000,'表4 商品品类销售趋势分析'!$B$2:$B$2000=A6),_xlpm.月份数字,MONTH(_xlpm.上榜月份),_xlpm.季节分布,FREQUENCY(_xlpm.月份数字,{3,6,9}),_xlpm.季节名,{"春季","夏季","秋季","冬季"},INDEX(_xlpm.季节名,MATCH(MAX(_xlpm.季节分布),_xlpm.季节分布,0)))</f>
        <v>冬季</v>
      </c>
      <c r="L6" s="20">
        <f>B6/(DATEDIF(MIN('表4 商品品类销售趋势分析'!$A$2:$A$2000),MAX('表4 商品品类销售趋势分析'!$A$2:$A$2000),"M")+1)</f>
        <v>4.1666666666666664E-2</v>
      </c>
      <c r="M6" s="15" t="str" cm="1">
        <f t="array" ref="M6">_xlfn.SWITCH(TRUE,B6&lt;=3,"短暂活跃型",B6&lt;=8,"间歇活跃型",E6&lt;=6,"集中爆发型","长期稳定型")</f>
        <v>短暂活跃型</v>
      </c>
      <c r="N6" s="20" cm="1">
        <f t="array" ref="N6">_xlfn.LET(_xlpm.dates,_xlfn._xlws.FILTER('表4 商品品类销售趋势分析'!$A$2:$A$2000,'表4 商品品类销售趋势分析'!$B$2:$B$2000=A6),_xlpm.months,MONTH(_xlpm.dates),_xlpm.n,COUNT(_xlpm.months),IF(_xlpm.n&lt;=1,0,_xlfn.LET(_xlpm.rad,RADIANS((_xlpm.months-1)*30),_xlpm.R,SQRT(AVERAGE(COS(_xlpm.rad))^2+AVERAGE(SIN(_xlpm.rad))^2),_xlpm.R)))</f>
        <v>0</v>
      </c>
      <c r="O6" s="15" t="str" cm="1">
        <f t="array" ref="O6">IF(B6&gt;=2,_xlfn.LET(_xlpm.排名数据,_xlfn._xlws.FILTER('表4 商品品类销售趋势分析'!$G$2:$G$2000,'表4 商品品类销售趋势分析'!$B$2:$B$2000=A6),_xlpm.时间数据,_xlfn._xlws.FILTER('表4 商品品类销售趋势分析'!$A$2:$A$2000,'表4 商品品类销售趋势分析'!$B$2:$B$2000=A6)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数据不足</v>
      </c>
    </row>
    <row r="7" spans="1:15" ht="15.6" x14ac:dyDescent="0.35">
      <c r="A7" s="7" t="str">
        <v>relogios_presentes</v>
      </c>
      <c r="B7" s="16">
        <f>COUNTIF('表4 商品品类销售趋势分析'!B:B, A7)</f>
        <v>21</v>
      </c>
      <c r="C7" s="17">
        <f>_xlfn.MINIFS('表4 商品品类销售趋势分析'!$A:$A, '表4 商品品类销售趋势分析'!$B:$B, A7)</f>
        <v>42644</v>
      </c>
      <c r="D7" s="17">
        <f>_xlfn.MAXIFS('表4 商品品类销售趋势分析'!$A:$A,'表4 商品品类销售趋势分析'!$B:$B, A7)</f>
        <v>43313</v>
      </c>
      <c r="E7" s="7">
        <f t="shared" si="0"/>
        <v>22</v>
      </c>
      <c r="F7" s="15">
        <f>_xlfn.MINIFS('表4 商品品类销售趋势分析'!$G:$G,'表4 商品品类销售趋势分析'!$B:$B, A7)</f>
        <v>1</v>
      </c>
      <c r="G7" s="7">
        <f>_xlfn.MAXIFS('表4 商品品类销售趋势分析'!$G:$G,'表4 商品品类销售趋势分析'!$B:$B, A7)</f>
        <v>10</v>
      </c>
      <c r="H7" s="7">
        <f t="shared" si="1"/>
        <v>9</v>
      </c>
      <c r="I7" s="18">
        <f>SUMIFS('表4 商品品类销售趋势分析'!$D:$D,'表4 商品品类销售趋势分析'!$B:$B, A7)</f>
        <v>1166176.9799999993</v>
      </c>
      <c r="J7" s="19">
        <f t="shared" si="2"/>
        <v>0.96464503520722422</v>
      </c>
      <c r="K7" s="15" t="str" cm="1">
        <f t="array" ref="K7">_xlfn.LET(_xlpm.上榜月份,_xlfn._xlws.FILTER('表4 商品品类销售趋势分析'!$A$2:$A$2000,'表4 商品品类销售趋势分析'!$B$2:$B$2000=A7)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7" s="20">
        <f>B7/(DATEDIF(MIN('表4 商品品类销售趋势分析'!$A$2:$A$2000),MAX('表4 商品品类销售趋势分析'!$A$2:$A$2000),"M")+1)</f>
        <v>0.875</v>
      </c>
      <c r="M7" s="15" t="str" cm="1">
        <f t="array" ref="M7">_xlfn.SWITCH(TRUE,B7&lt;=3,"短暂活跃型",B7&lt;=8,"间歇活跃型",E7&lt;=6,"集中爆发型","长期稳定型")</f>
        <v>长期稳定型</v>
      </c>
      <c r="N7" s="20" cm="1">
        <f t="array" ref="N7">_xlfn.LET(_xlpm.dates,_xlfn._xlws.FILTER('表4 商品品类销售趋势分析'!$A$2:$A$2000,'表4 商品品类销售趋势分析'!$B$2:$B$2000=A7),_xlpm.months,MONTH(_xlpm.dates),_xlpm.n,COUNT(_xlpm.months),IF(_xlpm.n&lt;=1,0,_xlfn.LET(_xlpm.rad,RADIANS((_xlpm.months-1)*30),_xlpm.R,SQRT(AVERAGE(COS(_xlpm.rad))^2+AVERAGE(SIN(_xlpm.rad))^2),_xlpm.R)))</f>
        <v>0.11400810337958706</v>
      </c>
      <c r="O7" s="15" t="str" cm="1">
        <f t="array" ref="O7">IF(B7&gt;=2,_xlfn.LET(_xlpm.排名数据,_xlfn._xlws.FILTER('表4 商品品类销售趋势分析'!$G$2:$G$2000,'表4 商品品类销售趋势分析'!$B$2:$B$2000=A7),_xlpm.时间数据,_xlfn._xlws.FILTER('表4 商品品类销售趋势分析'!$A$2:$A$2000,'表4 商品品类销售趋势分析'!$B$2:$B$2000=A7)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上升趋势</v>
      </c>
    </row>
    <row r="8" spans="1:15" ht="15.6" x14ac:dyDescent="0.35">
      <c r="A8" s="7" t="str">
        <v>esporte_lazer</v>
      </c>
      <c r="B8" s="16">
        <f>COUNTIF('表4 商品品类销售趋势分析'!B:B, A8)</f>
        <v>21</v>
      </c>
      <c r="C8" s="17">
        <f>_xlfn.MINIFS('表4 商品品类销售趋势分析'!$A:$A, '表4 商品品类销售趋势分析'!$B:$B, A8)</f>
        <v>42644</v>
      </c>
      <c r="D8" s="17">
        <f>_xlfn.MAXIFS('表4 商品品类销售趋势分析'!$A:$A,'表4 商品品类销售趋势分析'!$B:$B, A8)</f>
        <v>43313</v>
      </c>
      <c r="E8" s="7">
        <f t="shared" si="0"/>
        <v>22</v>
      </c>
      <c r="F8" s="15">
        <f>_xlfn.MINIFS('表4 商品品类销售趋势分析'!$G:$G,'表4 商品品类销售趋势分析'!$B:$B, A8)</f>
        <v>1</v>
      </c>
      <c r="G8" s="7">
        <f>_xlfn.MAXIFS('表4 商品品类销售趋势分析'!$G:$G,'表4 商品品类销售趋势分析'!$B:$B, A8)</f>
        <v>7</v>
      </c>
      <c r="H8" s="7">
        <f t="shared" si="1"/>
        <v>6</v>
      </c>
      <c r="I8" s="18">
        <f>SUMIFS('表4 商品品类销售趋势分析'!$D:$D,'表4 商品品类销售趋势分析'!$B:$B, A8)</f>
        <v>954852.55000000214</v>
      </c>
      <c r="J8" s="19">
        <f t="shared" si="2"/>
        <v>0.89609617653379814</v>
      </c>
      <c r="K8" s="15" t="str" cm="1">
        <f t="array" ref="K8">_xlfn.LET(_xlpm.上榜月份,_xlfn._xlws.FILTER('表4 商品品类销售趋势分析'!$A$2:$A$2000,'表4 商品品类销售趋势分析'!$B$2:$B$2000=A8)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8" s="20">
        <f>B8/(DATEDIF(MIN('表4 商品品类销售趋势分析'!$A$2:$A$2000),MAX('表4 商品品类销售趋势分析'!$A$2:$A$2000),"M")+1)</f>
        <v>0.875</v>
      </c>
      <c r="M8" s="15" t="str" cm="1">
        <f t="array" ref="M8">_xlfn.SWITCH(TRUE,B8&lt;=3,"短暂活跃型",B8&lt;=8,"间歇活跃型",E8&lt;=6,"集中爆发型","长期稳定型")</f>
        <v>长期稳定型</v>
      </c>
      <c r="N8" s="20" cm="1">
        <f t="array" ref="N8">_xlfn.LET(_xlpm.dates,_xlfn._xlws.FILTER('表4 商品品类销售趋势分析'!$A$2:$A$2000,'表4 商品品类销售趋势分析'!$B$2:$B$2000=A8),_xlpm.months,MONTH(_xlpm.dates),_xlpm.n,COUNT(_xlpm.months),IF(_xlpm.n&lt;=1,0,_xlfn.LET(_xlpm.rad,RADIANS((_xlpm.months-1)*30),_xlpm.R,SQRT(AVERAGE(COS(_xlpm.rad))^2+AVERAGE(SIN(_xlpm.rad))^2),_xlpm.R)))</f>
        <v>0.11400810337958706</v>
      </c>
      <c r="O8" s="15" t="str" cm="1">
        <f t="array" ref="O8">IF(B8&gt;=2,_xlfn.LET(_xlpm.排名数据,_xlfn._xlws.FILTER('表4 商品品类销售趋势分析'!$G$2:$G$2000,'表4 商品品类销售趋势分析'!$B$2:$B$2000=A8),_xlpm.时间数据,_xlfn._xlws.FILTER('表4 商品品类销售趋势分析'!$A$2:$A$2000,'表4 商品品类销售趋势分析'!$B$2:$B$2000=A8)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平稳趋势</v>
      </c>
    </row>
    <row r="9" spans="1:15" ht="15.6" x14ac:dyDescent="0.35">
      <c r="A9" s="7" t="str">
        <v>bebes</v>
      </c>
      <c r="B9" s="16">
        <f>COUNTIF('表4 商品品类销售趋势分析'!B:B, A9)</f>
        <v>7</v>
      </c>
      <c r="C9" s="17">
        <f>_xlfn.MINIFS('表4 商品品类销售趋势分析'!$A:$A, '表4 商品品类销售趋势分析'!$B:$B, A9)</f>
        <v>42644</v>
      </c>
      <c r="D9" s="17">
        <f>_xlfn.MAXIFS('表4 商品品类销售趋势分析'!$A:$A,'表4 商品品类销售趋势分析'!$B:$B, A9)</f>
        <v>43252</v>
      </c>
      <c r="E9" s="7">
        <f t="shared" si="0"/>
        <v>20</v>
      </c>
      <c r="F9" s="15">
        <f>_xlfn.MINIFS('表4 商品品类销售趋势分析'!$G:$G,'表4 商品品类销售趋势分析'!$B:$B, A9)</f>
        <v>7</v>
      </c>
      <c r="G9" s="7">
        <f>_xlfn.MAXIFS('表4 商品品类销售趋势分析'!$G:$G,'表4 商品品类销售趋势分析'!$B:$B, A9)</f>
        <v>10</v>
      </c>
      <c r="H9" s="7">
        <f t="shared" si="1"/>
        <v>3</v>
      </c>
      <c r="I9" s="18">
        <f>SUMIFS('表4 商品品类销售趋势分析'!$D:$D,'表4 商品品类销售趋势分析'!$B:$B, A9)</f>
        <v>182645.44000000038</v>
      </c>
      <c r="J9" s="19">
        <f t="shared" si="2"/>
        <v>0.27470058934027092</v>
      </c>
      <c r="K9" s="15" t="str" cm="1">
        <f t="array" ref="K9">_xlfn.LET(_xlpm.上榜月份,_xlfn._xlws.FILTER('表4 商品品类销售趋势分析'!$A$2:$A$2000,'表4 商品品类销售趋势分析'!$B$2:$B$2000=A9),_xlpm.月份数字,MONTH(_xlpm.上榜月份),_xlpm.季节分布,FREQUENCY(_xlpm.月份数字,{3,6,9}),_xlpm.季节名,{"春季","夏季","秋季","冬季"},INDEX(_xlpm.季节名,MATCH(MAX(_xlpm.季节分布),_xlpm.季节分布,0)))</f>
        <v>夏季</v>
      </c>
      <c r="L9" s="20">
        <f>B9/(DATEDIF(MIN('表4 商品品类销售趋势分析'!$A$2:$A$2000),MAX('表4 商品品类销售趋势分析'!$A$2:$A$2000),"M")+1)</f>
        <v>0.29166666666666669</v>
      </c>
      <c r="M9" s="15" t="str" cm="1">
        <f t="array" ref="M9">_xlfn.SWITCH(TRUE,B9&lt;=3,"短暂活跃型",B9&lt;=8,"间歇活跃型",E9&lt;=6,"集中爆发型","长期稳定型")</f>
        <v>间歇活跃型</v>
      </c>
      <c r="N9" s="20" cm="1">
        <f t="array" ref="N9">_xlfn.LET(_xlpm.dates,_xlfn._xlws.FILTER('表4 商品品类销售趋势分析'!$A$2:$A$2000,'表4 商品品类销售趋势分析'!$B$2:$B$2000=A9),_xlpm.months,MONTH(_xlpm.dates),_xlpm.n,COUNT(_xlpm.months),IF(_xlpm.n&lt;=1,0,_xlfn.LET(_xlpm.rad,RADIANS((_xlpm.months-1)*30),_xlpm.R,SQRT(AVERAGE(COS(_xlpm.rad))^2+AVERAGE(SIN(_xlpm.rad))^2),_xlpm.R)))</f>
        <v>0.20203050891044219</v>
      </c>
      <c r="O9" s="15" t="str" cm="1">
        <f t="array" ref="O9">IF(B9&gt;=2,_xlfn.LET(_xlpm.排名数据,_xlfn._xlws.FILTER('表4 商品品类销售趋势分析'!$G$2:$G$2000,'表4 商品品类销售趋势分析'!$B$2:$B$2000=A9),_xlpm.时间数据,_xlfn._xlws.FILTER('表4 商品品类销售趋势分析'!$A$2:$A$2000,'表4 商品品类销售趋势分析'!$B$2:$B$2000=A9)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下降趋势</v>
      </c>
    </row>
    <row r="10" spans="1:15" ht="15.6" x14ac:dyDescent="0.35">
      <c r="A10" s="7" t="str">
        <v>ferramentas_jardim</v>
      </c>
      <c r="B10" s="16">
        <f>COUNTIF('表4 商品品类销售趋势分析'!B:B, A10)</f>
        <v>14</v>
      </c>
      <c r="C10" s="17">
        <f>_xlfn.MINIFS('表4 商品品类销售趋势分析'!$A:$A, '表4 商品品类销售趋势分析'!$B:$B, A10)</f>
        <v>42644</v>
      </c>
      <c r="D10" s="17">
        <f>_xlfn.MAXIFS('表4 商品品类销售趋势分析'!$A:$A,'表4 商品品类销售趋势分析'!$B:$B, A10)</f>
        <v>43282</v>
      </c>
      <c r="E10" s="7">
        <f t="shared" si="0"/>
        <v>21</v>
      </c>
      <c r="F10" s="15">
        <f>_xlfn.MINIFS('表4 商品品类销售趋势分析'!$G:$G,'表4 商品品类销售趋势分析'!$B:$B, A10)</f>
        <v>5</v>
      </c>
      <c r="G10" s="7">
        <f>_xlfn.MAXIFS('表4 商品品类销售趋势分析'!$G:$G,'表4 商品品类销售趋势分析'!$B:$B, A10)</f>
        <v>10</v>
      </c>
      <c r="H10" s="7">
        <f t="shared" si="1"/>
        <v>5</v>
      </c>
      <c r="I10" s="18">
        <f>SUMIFS('表4 商品品类销售趋势分析'!$D:$D,'表4 商品品类销售趋势分析'!$B:$B, A10)</f>
        <v>310663.36000000051</v>
      </c>
      <c r="J10" s="19">
        <f t="shared" si="2"/>
        <v>0.47168124848525006</v>
      </c>
      <c r="K10" s="15" t="str" cm="1">
        <f t="array" ref="K10">_xlfn.LET(_xlpm.上榜月份,_xlfn._xlws.FILTER('表4 商品品类销售趋势分析'!$A$2:$A$2000,'表4 商品品类销售趋势分析'!$B$2:$B$2000=A10)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10" s="20">
        <f>B10/(DATEDIF(MIN('表4 商品品类销售趋势分析'!$A$2:$A$2000),MAX('表4 商品品类销售趋势分析'!$A$2:$A$2000),"M")+1)</f>
        <v>0.58333333333333337</v>
      </c>
      <c r="M10" s="15" t="str" cm="1">
        <f t="array" ref="M10">_xlfn.SWITCH(TRUE,B10&lt;=3,"短暂活跃型",B10&lt;=8,"间歇活跃型",E10&lt;=6,"集中爆发型","长期稳定型")</f>
        <v>长期稳定型</v>
      </c>
      <c r="N10" s="20" cm="1">
        <f t="array" ref="N10">_xlfn.LET(_xlpm.dates,_xlfn._xlws.FILTER('表4 商品品类销售趋势分析'!$A$2:$A$2000,'表4 商品品类销售趋势分析'!$B$2:$B$2000=A10),_xlpm.months,MONTH(_xlpm.dates),_xlpm.n,COUNT(_xlpm.months),IF(_xlpm.n&lt;=1,0,_xlfn.LET(_xlpm.rad,RADIANS((_xlpm.months-1)*30),_xlpm.R,SQRT(AVERAGE(COS(_xlpm.rad))^2+AVERAGE(SIN(_xlpm.rad))^2),_xlpm.R)))</f>
        <v>7.3948298600720205E-2</v>
      </c>
      <c r="O10" s="15" t="str" cm="1">
        <f t="array" ref="O10">IF(B10&gt;=2,_xlfn.LET(_xlpm.排名数据,_xlfn._xlws.FILTER('表4 商品品类销售趋势分析'!$G$2:$G$2000,'表4 商品品类销售趋势分析'!$B$2:$B$2000=A10),_xlpm.时间数据,_xlfn._xlws.FILTER('表4 商品品类销售趋势分析'!$A$2:$A$2000,'表4 商品品类销售趋势分析'!$B$2:$B$2000=A10)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下降趋势</v>
      </c>
    </row>
    <row r="11" spans="1:15" ht="15.6" x14ac:dyDescent="0.35">
      <c r="A11" s="7" t="str">
        <v>climatizacao</v>
      </c>
      <c r="B11" s="16">
        <f>COUNTIF('表4 商品品类销售趋势分析'!B:B, A11)</f>
        <v>1</v>
      </c>
      <c r="C11" s="17">
        <f>_xlfn.MINIFS('表4 商品品类销售趋势分析'!$A:$A, '表4 商品品类销售趋势分析'!$B:$B, A11)</f>
        <v>42644</v>
      </c>
      <c r="D11" s="17">
        <f>_xlfn.MAXIFS('表4 商品品类销售趋势分析'!$A:$A,'表4 商品品类销售趋势分析'!$B:$B, A11)</f>
        <v>42644</v>
      </c>
      <c r="E11" s="7">
        <f t="shared" si="0"/>
        <v>0</v>
      </c>
      <c r="F11" s="15">
        <f>_xlfn.MINIFS('表4 商品品类销售趋势分析'!$G:$G,'表4 商品品类销售趋势分析'!$B:$B, A11)</f>
        <v>10</v>
      </c>
      <c r="G11" s="7">
        <f>_xlfn.MAXIFS('表4 商品品类销售趋势分析'!$G:$G,'表4 商品品类销售趋势分析'!$B:$B, A11)</f>
        <v>10</v>
      </c>
      <c r="H11" s="7">
        <f t="shared" si="1"/>
        <v>0</v>
      </c>
      <c r="I11" s="18">
        <f>SUMIFS('表4 商品品类销售趋势分析'!$D:$D,'表4 商品品类销售趋势分析'!$B:$B, A11)</f>
        <v>1349.2900000000002</v>
      </c>
      <c r="J11" s="19">
        <f t="shared" si="2"/>
        <v>4.4074042751454434E-2</v>
      </c>
      <c r="K11" s="15" t="str" cm="1">
        <f t="array" ref="K11">_xlfn.LET(_xlpm.上榜月份,_xlfn._xlws.FILTER('表4 商品品类销售趋势分析'!$A$2:$A$2000,'表4 商品品类销售趋势分析'!$B$2:$B$2000=A11),_xlpm.月份数字,MONTH(_xlpm.上榜月份),_xlpm.季节分布,FREQUENCY(_xlpm.月份数字,{3,6,9}),_xlpm.季节名,{"春季","夏季","秋季","冬季"},INDEX(_xlpm.季节名,MATCH(MAX(_xlpm.季节分布),_xlpm.季节分布,0)))</f>
        <v>冬季</v>
      </c>
      <c r="L11" s="20">
        <f>B11/(DATEDIF(MIN('表4 商品品类销售趋势分析'!$A$2:$A$2000),MAX('表4 商品品类销售趋势分析'!$A$2:$A$2000),"M")+1)</f>
        <v>4.1666666666666664E-2</v>
      </c>
      <c r="M11" s="15" t="str" cm="1">
        <f t="array" ref="M11">_xlfn.SWITCH(TRUE,B11&lt;=3,"短暂活跃型",B11&lt;=8,"间歇活跃型",E11&lt;=6,"集中爆发型","长期稳定型")</f>
        <v>短暂活跃型</v>
      </c>
      <c r="N11" s="20" cm="1">
        <f t="array" ref="N11">_xlfn.LET(_xlpm.dates,_xlfn._xlws.FILTER('表4 商品品类销售趋势分析'!$A$2:$A$2000,'表4 商品品类销售趋势分析'!$B$2:$B$2000=A11),_xlpm.months,MONTH(_xlpm.dates),_xlpm.n,COUNT(_xlpm.months),IF(_xlpm.n&lt;=1,0,_xlfn.LET(_xlpm.rad,RADIANS((_xlpm.months-1)*30),_xlpm.R,SQRT(AVERAGE(COS(_xlpm.rad))^2+AVERAGE(SIN(_xlpm.rad))^2),_xlpm.R)))</f>
        <v>0</v>
      </c>
      <c r="O11" s="15" t="str" cm="1">
        <f t="array" ref="O11">IF(B11&gt;=2,_xlfn.LET(_xlpm.排名数据,_xlfn._xlws.FILTER('表4 商品品类销售趋势分析'!$G$2:$G$2000,'表4 商品品类销售趋势分析'!$B$2:$B$2000=A11),_xlpm.时间数据,_xlfn._xlws.FILTER('表4 商品品类销售趋势分析'!$A$2:$A$2000,'表4 商品品类销售趋势分析'!$B$2:$B$2000=A11)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数据不足</v>
      </c>
    </row>
    <row r="12" spans="1:15" ht="15.6" x14ac:dyDescent="0.35">
      <c r="A12" s="7" t="str">
        <v>fashion_bolsas_e_acessorios</v>
      </c>
      <c r="B12" s="16">
        <f>COUNTIF('表4 商品品类销售趋势分析'!B:B, A12)</f>
        <v>1</v>
      </c>
      <c r="C12" s="17">
        <f>_xlfn.MINIFS('表4 商品品类销售趋势分析'!$A:$A, '表4 商品品类销售趋势分析'!$B:$B, A12)</f>
        <v>42705</v>
      </c>
      <c r="D12" s="17">
        <f>_xlfn.MAXIFS('表4 商品品类销售趋势分析'!$A:$A,'表4 商品品类销售趋势分析'!$B:$B, A12)</f>
        <v>42705</v>
      </c>
      <c r="E12" s="7">
        <f t="shared" si="0"/>
        <v>0</v>
      </c>
      <c r="F12" s="15">
        <f>_xlfn.MINIFS('表4 商品品类销售趋势分析'!$G:$G,'表4 商品品类销售趋势分析'!$B:$B, A12)</f>
        <v>1</v>
      </c>
      <c r="G12" s="7">
        <f>_xlfn.MAXIFS('表4 商品品类销售趋势分析'!$G:$G,'表4 商品品类销售趋势分析'!$B:$B, A12)</f>
        <v>1</v>
      </c>
      <c r="H12" s="7">
        <f t="shared" si="1"/>
        <v>0</v>
      </c>
      <c r="I12" s="18">
        <f>SUMIFS('表4 商品品类销售趋势分析'!$D:$D,'表4 商品品类销售趋势分析'!$B:$B, A12)</f>
        <v>10.9</v>
      </c>
      <c r="J12" s="19">
        <f t="shared" si="2"/>
        <v>0.31363989934948272</v>
      </c>
      <c r="K12" s="15" t="str" cm="1">
        <f t="array" ref="K12">_xlfn.LET(_xlpm.上榜月份,_xlfn._xlws.FILTER('表4 商品品类销售趋势分析'!$A$2:$A$2000,'表4 商品品类销售趋势分析'!$B$2:$B$2000=A12),_xlpm.月份数字,MONTH(_xlpm.上榜月份),_xlpm.季节分布,FREQUENCY(_xlpm.月份数字,{3,6,9}),_xlpm.季节名,{"春季","夏季","秋季","冬季"},INDEX(_xlpm.季节名,MATCH(MAX(_xlpm.季节分布),_xlpm.季节分布,0)))</f>
        <v>冬季</v>
      </c>
      <c r="L12" s="20">
        <f>B12/(DATEDIF(MIN('表4 商品品类销售趋势分析'!$A$2:$A$2000),MAX('表4 商品品类销售趋势分析'!$A$2:$A$2000),"M")+1)</f>
        <v>4.1666666666666664E-2</v>
      </c>
      <c r="M12" s="15" t="str" cm="1">
        <f t="array" ref="M12">_xlfn.SWITCH(TRUE,B12&lt;=3,"短暂活跃型",B12&lt;=8,"间歇活跃型",E12&lt;=6,"集中爆发型","长期稳定型")</f>
        <v>短暂活跃型</v>
      </c>
      <c r="N12" s="20" cm="1">
        <f t="array" ref="N12">_xlfn.LET(_xlpm.dates,_xlfn._xlws.FILTER('表4 商品品类销售趋势分析'!$A$2:$A$2000,'表4 商品品类销售趋势分析'!$B$2:$B$2000=A12),_xlpm.months,MONTH(_xlpm.dates),_xlpm.n,COUNT(_xlpm.months),IF(_xlpm.n&lt;=1,0,_xlfn.LET(_xlpm.rad,RADIANS((_xlpm.months-1)*30),_xlpm.R,SQRT(AVERAGE(COS(_xlpm.rad))^2+AVERAGE(SIN(_xlpm.rad))^2),_xlpm.R)))</f>
        <v>0</v>
      </c>
      <c r="O12" s="15" t="str" cm="1">
        <f t="array" ref="O12">IF(B12&gt;=2,_xlfn.LET(_xlpm.排名数据,_xlfn._xlws.FILTER('表4 商品品类销售趋势分析'!$G$2:$G$2000,'表4 商品品类销售趋势分析'!$B$2:$B$2000=A12),_xlpm.时间数据,_xlfn._xlws.FILTER('表4 商品品类销售趋势分析'!$A$2:$A$2000,'表4 商品品类销售趋势分析'!$B$2:$B$2000=A12)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数据不足</v>
      </c>
    </row>
    <row r="13" spans="1:15" ht="15.6" x14ac:dyDescent="0.35">
      <c r="A13" s="7" t="str">
        <v>cool_stuff</v>
      </c>
      <c r="B13" s="16">
        <f>COUNTIF('表4 商品品类销售趋势分析'!B:B, A13)</f>
        <v>16</v>
      </c>
      <c r="C13" s="17">
        <f>_xlfn.MINIFS('表4 商品品类销售趋势分析'!$A:$A, '表4 商品品类销售趋势分析'!$B:$B, A13)</f>
        <v>42736</v>
      </c>
      <c r="D13" s="17">
        <f>_xlfn.MAXIFS('表4 商品品类销售趋势分析'!$A:$A,'表4 商品品类销售趋势分析'!$B:$B, A13)</f>
        <v>43191</v>
      </c>
      <c r="E13" s="7">
        <f t="shared" si="0"/>
        <v>15</v>
      </c>
      <c r="F13" s="15">
        <f>_xlfn.MINIFS('表4 商品品类销售趋势分析'!$G:$G,'表4 商品品类销售趋势分析'!$B:$B, A13)</f>
        <v>1</v>
      </c>
      <c r="G13" s="7">
        <f>_xlfn.MAXIFS('表4 商品品类销售趋势分析'!$G:$G,'表4 商品品类销售趋势分析'!$B:$B, A13)</f>
        <v>10</v>
      </c>
      <c r="H13" s="7">
        <f t="shared" si="1"/>
        <v>9</v>
      </c>
      <c r="I13" s="18">
        <f>SUMIFS('表4 商品品类销售趋势分析'!$D:$D,'表4 商品品类销售趋势分析'!$B:$B, A13)</f>
        <v>522945.6100000008</v>
      </c>
      <c r="J13" s="19">
        <f t="shared" si="2"/>
        <v>0.68781352954514297</v>
      </c>
      <c r="K13" s="15" t="str" cm="1">
        <f t="array" ref="K13">_xlfn.LET(_xlpm.上榜月份,_xlfn._xlws.FILTER('表4 商品品类销售趋势分析'!$A$2:$A$2000,'表4 商品品类销售趋势分析'!$B$2:$B$2000=A13)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13" s="20">
        <f>B13/(DATEDIF(MIN('表4 商品品类销售趋势分析'!$A$2:$A$2000),MAX('表4 商品品类销售趋势分析'!$A$2:$A$2000),"M")+1)</f>
        <v>0.66666666666666663</v>
      </c>
      <c r="M13" s="15" t="str" cm="1">
        <f t="array" ref="M13">_xlfn.SWITCH(TRUE,B13&lt;=3,"短暂活跃型",B13&lt;=8,"间歇活跃型",E13&lt;=6,"集中爆发型","长期稳定型")</f>
        <v>长期稳定型</v>
      </c>
      <c r="N13" s="20" cm="1">
        <f t="array" ref="N13">_xlfn.LET(_xlpm.dates,_xlfn._xlws.FILTER('表4 商品品类销售趋势分析'!$A$2:$A$2000,'表4 商品品类销售趋势分析'!$B$2:$B$2000=A13),_xlpm.months,MONTH(_xlpm.dates),_xlpm.n,COUNT(_xlpm.months),IF(_xlpm.n&lt;=1,0,_xlfn.LET(_xlpm.rad,RADIANS((_xlpm.months-1)*30),_xlpm.R,SQRT(AVERAGE(COS(_xlpm.rad))^2+AVERAGE(SIN(_xlpm.rad))^2),_xlpm.R)))</f>
        <v>0.20912907593445196</v>
      </c>
      <c r="O13" s="15" t="str" cm="1">
        <f t="array" ref="O13">IF(B13&gt;=2,_xlfn.LET(_xlpm.排名数据,_xlfn._xlws.FILTER('表4 商品品类销售趋势分析'!$G$2:$G$2000,'表4 商品品类销售趋势分析'!$B$2:$B$2000=A13),_xlpm.时间数据,_xlfn._xlws.FILTER('表4 商品品类销售趋势分析'!$A$2:$A$2000,'表4 商品品类销售趋势分析'!$B$2:$B$2000=A13)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下降趋势</v>
      </c>
    </row>
    <row r="14" spans="1:15" ht="15.6" x14ac:dyDescent="0.35">
      <c r="A14" s="7" t="str">
        <v>automotivo</v>
      </c>
      <c r="B14" s="16">
        <f>COUNTIF('表4 商品品类销售趋势分析'!B:B, A14)</f>
        <v>14</v>
      </c>
      <c r="C14" s="17">
        <f>_xlfn.MINIFS('表4 商品品类销售趋势分析'!$A:$A, '表4 商品品类销售趋势分析'!$B:$B, A14)</f>
        <v>42736</v>
      </c>
      <c r="D14" s="17">
        <f>_xlfn.MAXIFS('表4 商品品类销售趋势分析'!$A:$A,'表4 商品品类销售趋势分析'!$B:$B, A14)</f>
        <v>43313</v>
      </c>
      <c r="E14" s="7">
        <f t="shared" si="0"/>
        <v>19</v>
      </c>
      <c r="F14" s="15">
        <f>_xlfn.MINIFS('表4 商品品类销售趋势分析'!$G:$G,'表4 商品品类销售趋势分析'!$B:$B, A14)</f>
        <v>5</v>
      </c>
      <c r="G14" s="7">
        <f>_xlfn.MAXIFS('表4 商品品类销售趋势分析'!$G:$G,'表4 商品品类销售趋势分析'!$B:$B, A14)</f>
        <v>10</v>
      </c>
      <c r="H14" s="7">
        <f t="shared" si="1"/>
        <v>5</v>
      </c>
      <c r="I14" s="18">
        <f>SUMIFS('表4 商品品类销售趋势分析'!$D:$D,'表4 商品品类销售趋势分析'!$B:$B, A14)</f>
        <v>476832.20000000094</v>
      </c>
      <c r="J14" s="19">
        <f t="shared" si="2"/>
        <v>0.52558265651974623</v>
      </c>
      <c r="K14" s="15" t="str" cm="1">
        <f t="array" ref="K14">_xlfn.LET(_xlpm.上榜月份,_xlfn._xlws.FILTER('表4 商品品类销售趋势分析'!$A$2:$A$2000,'表4 商品品类销售趋势分析'!$B$2:$B$2000=A14)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14" s="20">
        <f>B14/(DATEDIF(MIN('表4 商品品类销售趋势分析'!$A$2:$A$2000),MAX('表4 商品品类销售趋势分析'!$A$2:$A$2000),"M")+1)</f>
        <v>0.58333333333333337</v>
      </c>
      <c r="M14" s="15" t="str" cm="1">
        <f t="array" ref="M14">_xlfn.SWITCH(TRUE,B14&lt;=3,"短暂活跃型",B14&lt;=8,"间歇活跃型",E14&lt;=6,"集中爆发型","长期稳定型")</f>
        <v>长期稳定型</v>
      </c>
      <c r="N14" s="20" cm="1">
        <f t="array" ref="N14">_xlfn.LET(_xlpm.dates,_xlfn._xlws.FILTER('表4 商品品类销售趋势分析'!$A$2:$A$2000,'表4 商品品类销售趋势分析'!$B$2:$B$2000=A14),_xlpm.months,MONTH(_xlpm.dates),_xlpm.n,COUNT(_xlpm.months),IF(_xlpm.n&lt;=1,0,_xlfn.LET(_xlpm.rad,RADIANS((_xlpm.months-1)*30),_xlpm.R,SQRT(AVERAGE(COS(_xlpm.rad))^2+AVERAGE(SIN(_xlpm.rad))^2),_xlpm.R)))</f>
        <v>0.30244077873901659</v>
      </c>
      <c r="O14" s="15" t="str" cm="1">
        <f t="array" ref="O14">IF(B14&gt;=2,_xlfn.LET(_xlpm.排名数据,_xlfn._xlws.FILTER('表4 商品品类销售趋势分析'!$G$2:$G$2000,'表4 商品品类销售趋势分析'!$B$2:$B$2000=A14),_xlpm.时间数据,_xlfn._xlws.FILTER('表4 商品品类销售趋势分析'!$A$2:$A$2000,'表4 商品品类销售趋势分析'!$B$2:$B$2000=A14)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上升趋势</v>
      </c>
    </row>
    <row r="15" spans="1:15" ht="15.6" x14ac:dyDescent="0.35">
      <c r="A15" s="7" t="str">
        <v>cama_mesa_banho</v>
      </c>
      <c r="B15" s="16">
        <f>COUNTIF('表4 商品品类销售趋势分析'!B:B, A15)</f>
        <v>19</v>
      </c>
      <c r="C15" s="17">
        <f>_xlfn.MINIFS('表4 商品品类销售趋势分析'!$A:$A, '表4 商品品类销售趋势分析'!$B:$B, A15)</f>
        <v>42767</v>
      </c>
      <c r="D15" s="17">
        <f>_xlfn.MAXIFS('表4 商品品类销售趋势分析'!$A:$A,'表4 商品品类销售趋势分析'!$B:$B, A15)</f>
        <v>43313</v>
      </c>
      <c r="E15" s="7">
        <f t="shared" si="0"/>
        <v>18</v>
      </c>
      <c r="F15" s="15">
        <f>_xlfn.MINIFS('表4 商品品类销售趋势分析'!$G:$G,'表4 商品品类销售趋势分析'!$B:$B, A15)</f>
        <v>1</v>
      </c>
      <c r="G15" s="7">
        <f>_xlfn.MAXIFS('表4 商品品类销售趋势分析'!$G:$G,'表4 商品品类销售趋势分析'!$B:$B, A15)</f>
        <v>5</v>
      </c>
      <c r="H15" s="7">
        <f t="shared" si="1"/>
        <v>4</v>
      </c>
      <c r="I15" s="18">
        <f>SUMIFS('表4 商品品类销售趋势分析'!$D:$D,'表4 商品品类销售趋势分析'!$B:$B, A15)</f>
        <v>1019151.4100000025</v>
      </c>
      <c r="J15" s="19">
        <f t="shared" si="2"/>
        <v>0.8896805431001622</v>
      </c>
      <c r="K15" s="15" t="str" cm="1">
        <f t="array" ref="K15">_xlfn.LET(_xlpm.上榜月份,_xlfn._xlws.FILTER('表4 商品品类销售趋势分析'!$A$2:$A$2000,'表4 商品品类销售趋势分析'!$B$2:$B$2000=A15),_xlpm.月份数字,MONTH(_xlpm.上榜月份),_xlpm.季节分布,FREQUENCY(_xlpm.月份数字,{3,6,9}),_xlpm.季节名,{"春季","夏季","秋季","冬季"},INDEX(_xlpm.季节名,MATCH(MAX(_xlpm.季节分布),_xlpm.季节分布,0)))</f>
        <v>夏季</v>
      </c>
      <c r="L15" s="20">
        <f>B15/(DATEDIF(MIN('表4 商品品类销售趋势分析'!$A$2:$A$2000),MAX('表4 商品品类销售趋势分析'!$A$2:$A$2000),"M")+1)</f>
        <v>0.79166666666666663</v>
      </c>
      <c r="M15" s="15" t="str" cm="1">
        <f t="array" ref="M15">_xlfn.SWITCH(TRUE,B15&lt;=3,"短暂活跃型",B15&lt;=8,"间歇活跃型",E15&lt;=6,"集中爆发型","长期稳定型")</f>
        <v>长期稳定型</v>
      </c>
      <c r="N15" s="20" cm="1">
        <f t="array" ref="N15">_xlfn.LET(_xlpm.dates,_xlfn._xlws.FILTER('表4 商品品类销售趋势分析'!$A$2:$A$2000,'表4 商品品类销售趋势分析'!$B$2:$B$2000=A15),_xlpm.months,MONTH(_xlpm.dates),_xlpm.n,COUNT(_xlpm.months),IF(_xlpm.n&lt;=1,0,_xlfn.LET(_xlpm.rad,RADIANS((_xlpm.months-1)*30),_xlpm.R,SQRT(AVERAGE(COS(_xlpm.rad))^2+AVERAGE(SIN(_xlpm.rad))^2),_xlpm.R)))</f>
        <v>0.19642372671415143</v>
      </c>
      <c r="O15" s="15" t="str" cm="1">
        <f t="array" ref="O15">IF(B15&gt;=2,_xlfn.LET(_xlpm.排名数据,_xlfn._xlws.FILTER('表4 商品品类销售趋势分析'!$G$2:$G$2000,'表4 商品品类销售趋势分析'!$B$2:$B$2000=A15),_xlpm.时间数据,_xlfn._xlws.FILTER('表4 商品品类销售趋势分析'!$A$2:$A$2000,'表4 商品品类销售趋势分析'!$B$2:$B$2000=A15)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平稳趋势</v>
      </c>
    </row>
    <row r="16" spans="1:15" ht="15.6" x14ac:dyDescent="0.35">
      <c r="A16" s="7" t="str">
        <v>informatica_acessorios</v>
      </c>
      <c r="B16" s="16">
        <f>COUNTIF('表4 商品品类销售趋势分析'!B:B, A16)</f>
        <v>19</v>
      </c>
      <c r="C16" s="17">
        <f>_xlfn.MINIFS('表4 商品品类销售趋势分析'!$A:$A, '表4 商品品类销售趋势分析'!$B:$B, A16)</f>
        <v>42767</v>
      </c>
      <c r="D16" s="17">
        <f>_xlfn.MAXIFS('表4 商品品类销售趋势分析'!$A:$A,'表4 商品品类销售趋势分析'!$B:$B, A16)</f>
        <v>43313</v>
      </c>
      <c r="E16" s="7">
        <f t="shared" si="0"/>
        <v>18</v>
      </c>
      <c r="F16" s="15">
        <f>_xlfn.MINIFS('表4 商品品类销售趋势分析'!$G:$G,'表4 商品品类销售趋势分析'!$B:$B, A16)</f>
        <v>1</v>
      </c>
      <c r="G16" s="7">
        <f>_xlfn.MAXIFS('表4 商品品类销售趋势分析'!$G:$G,'表4 商品品类销售趋势分析'!$B:$B, A16)</f>
        <v>9</v>
      </c>
      <c r="H16" s="7">
        <f t="shared" si="1"/>
        <v>8</v>
      </c>
      <c r="I16" s="18">
        <f>SUMIFS('表4 商品品类销售趋势分析'!$D:$D,'表4 商品品类销售趋势分析'!$B:$B, A16)</f>
        <v>884131.45000000088</v>
      </c>
      <c r="J16" s="19">
        <f t="shared" si="2"/>
        <v>0.845883126227291</v>
      </c>
      <c r="K16" s="15" t="str" cm="1">
        <f t="array" ref="K16">_xlfn.LET(_xlpm.上榜月份,_xlfn._xlws.FILTER('表4 商品品类销售趋势分析'!$A$2:$A$2000,'表4 商品品类销售趋势分析'!$B$2:$B$2000=A16),_xlpm.月份数字,MONTH(_xlpm.上榜月份),_xlpm.季节分布,FREQUENCY(_xlpm.月份数字,{3,6,9}),_xlpm.季节名,{"春季","夏季","秋季","冬季"},INDEX(_xlpm.季节名,MATCH(MAX(_xlpm.季节分布),_xlpm.季节分布,0)))</f>
        <v>夏季</v>
      </c>
      <c r="L16" s="20">
        <f>B16/(DATEDIF(MIN('表4 商品品类销售趋势分析'!$A$2:$A$2000),MAX('表4 商品品类销售趋势分析'!$A$2:$A$2000),"M")+1)</f>
        <v>0.79166666666666663</v>
      </c>
      <c r="M16" s="15" t="str" cm="1">
        <f t="array" ref="M16">_xlfn.SWITCH(TRUE,B16&lt;=3,"短暂活跃型",B16&lt;=8,"间歇活跃型",E16&lt;=6,"集中爆发型","长期稳定型")</f>
        <v>长期稳定型</v>
      </c>
      <c r="N16" s="20" cm="1">
        <f t="array" ref="N16">_xlfn.LET(_xlpm.dates,_xlfn._xlws.FILTER('表4 商品品类销售趋势分析'!$A$2:$A$2000,'表4 商品品类销售趋势分析'!$B$2:$B$2000=A16),_xlpm.months,MONTH(_xlpm.dates),_xlpm.n,COUNT(_xlpm.months),IF(_xlpm.n&lt;=1,0,_xlfn.LET(_xlpm.rad,RADIANS((_xlpm.months-1)*30),_xlpm.R,SQRT(AVERAGE(COS(_xlpm.rad))^2+AVERAGE(SIN(_xlpm.rad))^2),_xlpm.R)))</f>
        <v>0.19642372671415143</v>
      </c>
      <c r="O16" s="15" t="str" cm="1">
        <f t="array" ref="O16">IF(B16&gt;=2,_xlfn.LET(_xlpm.排名数据,_xlfn._xlws.FILTER('表4 商品品类销售趋势分析'!$G$2:$G$2000,'表4 商品品类销售趋势分析'!$B$2:$B$2000=A16),_xlpm.时间数据,_xlfn._xlws.FILTER('表4 商品品类销售趋势分析'!$A$2:$A$2000,'表4 商品品类销售趋势分析'!$B$2:$B$2000=A16)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下降趋势</v>
      </c>
    </row>
    <row r="17" spans="1:19" ht="15.6" x14ac:dyDescent="0.35">
      <c r="A17" s="7" t="str">
        <v>utilidades_domesticas</v>
      </c>
      <c r="B17" s="16">
        <f>COUNTIF('表4 商品品类销售趋势分析'!B:B, A17)</f>
        <v>13</v>
      </c>
      <c r="C17" s="17">
        <f>_xlfn.MINIFS('表4 商品品类销售趋势分析'!$A:$A, '表4 商品品类销售趋势分析'!$B:$B, A17)</f>
        <v>42767</v>
      </c>
      <c r="D17" s="17">
        <f>_xlfn.MAXIFS('表4 商品品类销售趋势分析'!$A:$A,'表4 商品品类销售趋势分析'!$B:$B, A17)</f>
        <v>43313</v>
      </c>
      <c r="E17" s="7">
        <f t="shared" si="0"/>
        <v>18</v>
      </c>
      <c r="F17" s="15">
        <f>_xlfn.MINIFS('表4 商品品类销售趋势分析'!$G:$G,'表4 商品品类销售趋势分析'!$B:$B, A17)</f>
        <v>3</v>
      </c>
      <c r="G17" s="7">
        <f>_xlfn.MAXIFS('表4 商品品类销售趋势分析'!$G:$G,'表4 商品品类销售趋势分析'!$B:$B, A17)</f>
        <v>10</v>
      </c>
      <c r="H17" s="7">
        <f t="shared" si="1"/>
        <v>7</v>
      </c>
      <c r="I17" s="18">
        <f>SUMIFS('表4 商品品类销售趋势分析'!$D:$D,'表4 商品品类销售趋势分析'!$B:$B, A17)</f>
        <v>491151.2800000009</v>
      </c>
      <c r="J17" s="19">
        <f t="shared" si="2"/>
        <v>0.57659107811362542</v>
      </c>
      <c r="K17" s="15" t="str" cm="1">
        <f t="array" ref="K17">_xlfn.LET(_xlpm.上榜月份,_xlfn._xlws.FILTER('表4 商品品类销售趋势分析'!$A$2:$A$2000,'表4 商品品类销售趋势分析'!$B$2:$B$2000=A17),_xlpm.月份数字,MONTH(_xlpm.上榜月份),_xlpm.季节分布,FREQUENCY(_xlpm.月份数字,{3,6,9}),_xlpm.季节名,{"春季","夏季","秋季","冬季"},INDEX(_xlpm.季节名,MATCH(MAX(_xlpm.季节分布),_xlpm.季节分布,0)))</f>
        <v>夏季</v>
      </c>
      <c r="L17" s="20">
        <f>B17/(DATEDIF(MIN('表4 商品品类销售趋势分析'!$A$2:$A$2000),MAX('表4 商品品类销售趋势分析'!$A$2:$A$2000),"M")+1)</f>
        <v>0.54166666666666663</v>
      </c>
      <c r="M17" s="15" t="str" cm="1">
        <f t="array" ref="M17">_xlfn.SWITCH(TRUE,B17&lt;=3,"短暂活跃型",B17&lt;=8,"间歇活跃型",E17&lt;=6,"集中爆发型","长期稳定型")</f>
        <v>长期稳定型</v>
      </c>
      <c r="N17" s="20" cm="1">
        <f t="array" ref="N17">_xlfn.LET(_xlpm.dates,_xlfn._xlws.FILTER('表4 商品品类销售趋势分析'!$A$2:$A$2000,'表4 商品品类销售趋势分析'!$B$2:$B$2000=A17),_xlpm.months,MONTH(_xlpm.dates),_xlpm.n,COUNT(_xlpm.months),IF(_xlpm.n&lt;=1,0,_xlfn.LET(_xlpm.rad,RADIANS((_xlpm.months-1)*30),_xlpm.R,SQRT(AVERAGE(COS(_xlpm.rad))^2+AVERAGE(SIN(_xlpm.rad))^2),_xlpm.R)))</f>
        <v>0.43233545810177354</v>
      </c>
      <c r="O17" s="15" t="str" cm="1">
        <f t="array" ref="O17">IF(B17&gt;=2,_xlfn.LET(_xlpm.排名数据,_xlfn._xlws.FILTER('表4 商品品类销售趋势分析'!$G$2:$G$2000,'表4 商品品类销售趋势分析'!$B$2:$B$2000=A17),_xlpm.时间数据,_xlfn._xlws.FILTER('表4 商品品类销售趋势分析'!$A$2:$A$2000,'表4 商品品类销售趋势分析'!$B$2:$B$2000=A17)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上升趋势</v>
      </c>
    </row>
    <row r="18" spans="1:19" ht="15.6" x14ac:dyDescent="0.35">
      <c r="A18" s="7" t="str">
        <v>eletroportateis</v>
      </c>
      <c r="B18" s="16">
        <f>COUNTIF('表4 商品品类销售趋势分析'!B:B, A18)</f>
        <v>1</v>
      </c>
      <c r="C18" s="17">
        <f>_xlfn.MINIFS('表4 商品品类销售趋势分析'!$A:$A, '表4 商品品类销售趋势分析'!$B:$B, A18)</f>
        <v>42826</v>
      </c>
      <c r="D18" s="17">
        <f>_xlfn.MAXIFS('表4 商品品类销售趋势分析'!$A:$A,'表4 商品品类销售趋势分析'!$B:$B, A18)</f>
        <v>42826</v>
      </c>
      <c r="E18" s="7">
        <f t="shared" si="0"/>
        <v>0</v>
      </c>
      <c r="F18" s="15">
        <f>_xlfn.MINIFS('表4 商品品类销售趋势分析'!$G:$G,'表4 商品品类销售趋势分析'!$B:$B, A18)</f>
        <v>3</v>
      </c>
      <c r="G18" s="7">
        <f>_xlfn.MAXIFS('表4 商品品类销售趋势分析'!$G:$G,'表4 商品品类销售趋势分析'!$B:$B, A18)</f>
        <v>3</v>
      </c>
      <c r="H18" s="7">
        <f t="shared" si="1"/>
        <v>0</v>
      </c>
      <c r="I18" s="18">
        <f>SUMIFS('表4 商品品类销售趋势分析'!$D:$D,'表4 商品品类销售趋势分析'!$B:$B, A18)</f>
        <v>23114.98</v>
      </c>
      <c r="J18" s="19">
        <f t="shared" si="2"/>
        <v>0.26113433960279159</v>
      </c>
      <c r="K18" s="15" t="str" cm="1">
        <f t="array" ref="K18">_xlfn.LET(_xlpm.上榜月份,_xlfn._xlws.FILTER('表4 商品品类销售趋势分析'!$A$2:$A$2000,'表4 商品品类销售趋势分析'!$B$2:$B$2000=A18),_xlpm.月份数字,MONTH(_xlpm.上榜月份),_xlpm.季节分布,FREQUENCY(_xlpm.月份数字,{3,6,9}),_xlpm.季节名,{"春季","夏季","秋季","冬季"},INDEX(_xlpm.季节名,MATCH(MAX(_xlpm.季节分布),_xlpm.季节分布,0)))</f>
        <v>夏季</v>
      </c>
      <c r="L18" s="20">
        <f>B18/(DATEDIF(MIN('表4 商品品类销售趋势分析'!$A$2:$A$2000),MAX('表4 商品品类销售趋势分析'!$A$2:$A$2000),"M")+1)</f>
        <v>4.1666666666666664E-2</v>
      </c>
      <c r="M18" s="15" t="str" cm="1">
        <f t="array" ref="M18">_xlfn.SWITCH(TRUE,B18&lt;=3,"短暂活跃型",B18&lt;=8,"间歇活跃型",E18&lt;=6,"集中爆发型","长期稳定型")</f>
        <v>短暂活跃型</v>
      </c>
      <c r="N18" s="20" cm="1">
        <f t="array" ref="N18">_xlfn.LET(_xlpm.dates,_xlfn._xlws.FILTER('表4 商品品类销售趋势分析'!$A$2:$A$2000,'表4 商品品类销售趋势分析'!$B$2:$B$2000=A18),_xlpm.months,MONTH(_xlpm.dates),_xlpm.n,COUNT(_xlpm.months),IF(_xlpm.n&lt;=1,0,_xlfn.LET(_xlpm.rad,RADIANS((_xlpm.months-1)*30),_xlpm.R,SQRT(AVERAGE(COS(_xlpm.rad))^2+AVERAGE(SIN(_xlpm.rad))^2),_xlpm.R)))</f>
        <v>0</v>
      </c>
      <c r="O18" s="15" t="str" cm="1">
        <f t="array" ref="O18">IF(B18&gt;=2,_xlfn.LET(_xlpm.排名数据,_xlfn._xlws.FILTER('表4 商品品类销售趋势分析'!$G$2:$G$2000,'表4 商品品类销售趋势分析'!$B$2:$B$2000=A18),_xlpm.时间数据,_xlfn._xlws.FILTER('表4 商品品类销售趋势分析'!$A$2:$A$2000,'表4 商品品类销售趋势分析'!$B$2:$B$2000=A18)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数据不足</v>
      </c>
    </row>
    <row r="19" spans="1:19" ht="15.6" x14ac:dyDescent="0.35">
      <c r="A19" s="7" t="str">
        <v>pcs</v>
      </c>
      <c r="B19" s="16">
        <f>COUNTIF('表4 商品品类销售趋势分析'!B:B, A19)</f>
        <v>3</v>
      </c>
      <c r="C19" s="17">
        <f>_xlfn.MINIFS('表4 商品品类销售趋势分析'!$A:$A, '表4 商品品类销售趋势分析'!$B:$B, A19)</f>
        <v>42948</v>
      </c>
      <c r="D19" s="17">
        <f>_xlfn.MAXIFS('表4 商品品类销售趋势分析'!$A:$A,'表4 商品品类销售趋势分析'!$B:$B, A19)</f>
        <v>43009</v>
      </c>
      <c r="E19" s="7">
        <f t="shared" si="0"/>
        <v>2</v>
      </c>
      <c r="F19" s="15">
        <f>_xlfn.MINIFS('表4 商品品类销售趋势分析'!$G:$G,'表4 商品品类销售趋势分析'!$B:$B, A19)</f>
        <v>2</v>
      </c>
      <c r="G19" s="7">
        <f>_xlfn.MAXIFS('表4 商品品类销售趋势分析'!$G:$G,'表4 商品品类销售趋势分析'!$B:$B, A19)</f>
        <v>8</v>
      </c>
      <c r="H19" s="7">
        <f t="shared" si="1"/>
        <v>6</v>
      </c>
      <c r="I19" s="18">
        <f>SUMIFS('表4 商品品类销售趋势分析'!$D:$D,'表4 商品品类销售趋势分析'!$B:$B, A19)</f>
        <v>124022.81</v>
      </c>
      <c r="J19" s="19">
        <f t="shared" si="2"/>
        <v>0.35113928140325806</v>
      </c>
      <c r="K19" s="15" t="str" cm="1">
        <f t="array" ref="K19">_xlfn.LET(_xlpm.上榜月份,_xlfn._xlws.FILTER('表4 商品品类销售趋势分析'!$A$2:$A$2000,'表4 商品品类销售趋势分析'!$B$2:$B$2000=A19),_xlpm.月份数字,MONTH(_xlpm.上榜月份),_xlpm.季节分布,FREQUENCY(_xlpm.月份数字,{3,6,9}),_xlpm.季节名,{"春季","夏季","秋季","冬季"},INDEX(_xlpm.季节名,MATCH(MAX(_xlpm.季节分布),_xlpm.季节分布,0)))</f>
        <v>秋季</v>
      </c>
      <c r="L19" s="20">
        <f>B19/(DATEDIF(MIN('表4 商品品类销售趋势分析'!$A$2:$A$2000),MAX('表4 商品品类销售趋势分析'!$A$2:$A$2000),"M")+1)</f>
        <v>0.125</v>
      </c>
      <c r="M19" s="15" t="str" cm="1">
        <f t="array" ref="M19">_xlfn.SWITCH(TRUE,B19&lt;=3,"短暂活跃型",B19&lt;=8,"间歇活跃型",E19&lt;=6,"集中爆发型","长期稳定型")</f>
        <v>短暂活跃型</v>
      </c>
      <c r="N19" s="20" cm="1">
        <f t="array" ref="N19">_xlfn.LET(_xlpm.dates,_xlfn._xlws.FILTER('表4 商品品类销售趋势分析'!$A$2:$A$2000,'表4 商品品类销售趋势分析'!$B$2:$B$2000=A19),_xlpm.months,MONTH(_xlpm.dates),_xlpm.n,COUNT(_xlpm.months),IF(_xlpm.n&lt;=1,0,_xlfn.LET(_xlpm.rad,RADIANS((_xlpm.months-1)*30),_xlpm.R,SQRT(AVERAGE(COS(_xlpm.rad))^2+AVERAGE(SIN(_xlpm.rad))^2),_xlpm.R)))</f>
        <v>0.9106836025229591</v>
      </c>
      <c r="O19" s="15" t="str" cm="1">
        <f t="array" ref="O19">IF(B19&gt;=2,_xlfn.LET(_xlpm.排名数据,_xlfn._xlws.FILTER('表4 商品品类销售趋势分析'!$G$2:$G$2000,'表4 商品品类销售趋势分析'!$B$2:$B$2000=A19),_xlpm.时间数据,_xlfn._xlws.FILTER('表4 商品品类销售趋势分析'!$A$2:$A$2000,'表4 商品品类销售趋势分析'!$B$2:$B$2000=A19)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上升趋势</v>
      </c>
    </row>
    <row r="20" spans="1:19" ht="15.6" x14ac:dyDescent="0.35">
      <c r="A20" s="7" t="str">
        <v>papelaria</v>
      </c>
      <c r="B20" s="16">
        <f>COUNTIF('表4 商品品类销售趋势分析'!B:B, A20)</f>
        <v>1</v>
      </c>
      <c r="C20" s="17">
        <f>_xlfn.MINIFS('表4 商品品类销售趋势分析'!$A:$A, '表4 商品品类销售趋势分析'!$B:$B, A20)</f>
        <v>43101</v>
      </c>
      <c r="D20" s="17">
        <f>_xlfn.MAXIFS('表4 商品品类销售趋势分析'!$A:$A,'表4 商品品类销售趋势分析'!$B:$B, A20)</f>
        <v>43101</v>
      </c>
      <c r="E20" s="7">
        <f t="shared" si="0"/>
        <v>0</v>
      </c>
      <c r="F20" s="15">
        <f>_xlfn.MINIFS('表4 商品品类销售趋势分析'!$G:$G,'表4 商品品类销售趋势分析'!$B:$B, A20)</f>
        <v>7</v>
      </c>
      <c r="G20" s="7">
        <f>_xlfn.MAXIFS('表4 商品品类销售趋势分析'!$G:$G,'表4 商品品类销售趋势分析'!$B:$B, A20)</f>
        <v>7</v>
      </c>
      <c r="H20" s="7">
        <f t="shared" si="1"/>
        <v>0</v>
      </c>
      <c r="I20" s="18">
        <f>SUMIFS('表4 商品品类销售趋势分析'!$D:$D,'表4 商品品类销售趋势分析'!$B:$B, A20)</f>
        <v>39522.720000000059</v>
      </c>
      <c r="J20" s="19">
        <f t="shared" si="2"/>
        <v>0.14645663882967389</v>
      </c>
      <c r="K20" s="15" t="str" cm="1">
        <f t="array" ref="K20">_xlfn.LET(_xlpm.上榜月份,_xlfn._xlws.FILTER('表4 商品品类销售趋势分析'!$A$2:$A$2000,'表4 商品品类销售趋势分析'!$B$2:$B$2000=A20),_xlpm.月份数字,MONTH(_xlpm.上榜月份),_xlpm.季节分布,FREQUENCY(_xlpm.月份数字,{3,6,9}),_xlpm.季节名,{"春季","夏季","秋季","冬季"},INDEX(_xlpm.季节名,MATCH(MAX(_xlpm.季节分布),_xlpm.季节分布,0)))</f>
        <v>春季</v>
      </c>
      <c r="L20" s="20">
        <f>B20/(DATEDIF(MIN('表4 商品品类销售趋势分析'!$A$2:$A$2000),MAX('表4 商品品类销售趋势分析'!$A$2:$A$2000),"M")+1)</f>
        <v>4.1666666666666664E-2</v>
      </c>
      <c r="M20" s="15" t="str" cm="1">
        <f t="array" ref="M20">_xlfn.SWITCH(TRUE,B20&lt;=3,"短暂活跃型",B20&lt;=8,"间歇活跃型",E20&lt;=6,"集中爆发型","长期稳定型")</f>
        <v>短暂活跃型</v>
      </c>
      <c r="N20" s="20" cm="1">
        <f t="array" ref="N20">_xlfn.LET(_xlpm.dates,_xlfn._xlws.FILTER('表4 商品品类销售趋势分析'!$A$2:$A$2000,'表4 商品品类销售趋势分析'!$B$2:$B$2000=A20),_xlpm.months,MONTH(_xlpm.dates),_xlpm.n,COUNT(_xlpm.months),IF(_xlpm.n&lt;=1,0,_xlfn.LET(_xlpm.rad,RADIANS((_xlpm.months-1)*30),_xlpm.R,SQRT(AVERAGE(COS(_xlpm.rad))^2+AVERAGE(SIN(_xlpm.rad))^2),_xlpm.R)))</f>
        <v>0</v>
      </c>
      <c r="O20" s="15" t="str" cm="1">
        <f t="array" ref="O20">IF(B20&gt;=2,_xlfn.LET(_xlpm.排名数据,_xlfn._xlws.FILTER('表4 商品品类销售趋势分析'!$G$2:$G$2000,'表4 商品品类销售趋势分析'!$B$2:$B$2000=A20),_xlpm.时间数据,_xlfn._xlws.FILTER('表4 商品品类销售趋势分析'!$A$2:$A$2000,'表4 商品品类销售趋势分析'!$B$2:$B$2000=A20)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数据不足</v>
      </c>
      <c r="Q20" s="2"/>
    </row>
    <row r="21" spans="1:19" ht="15.6" x14ac:dyDescent="0.35">
      <c r="A21" s="7" t="str">
        <v>telefonia</v>
      </c>
      <c r="B21" s="16">
        <f>COUNTIF('表4 商品品类销售趋势分析'!B:B, A21)</f>
        <v>2</v>
      </c>
      <c r="C21" s="17">
        <f>_xlfn.MINIFS('表4 商品品类销售趋势分析'!$A:$A, '表4 商品品类销售趋势分析'!$B:$B, A21)</f>
        <v>43282</v>
      </c>
      <c r="D21" s="17">
        <f>_xlfn.MAXIFS('表4 商品品类销售趋势分析'!$A:$A,'表4 商品品类销售趋势分析'!$B:$B, A21)</f>
        <v>43313</v>
      </c>
      <c r="E21" s="7">
        <f t="shared" si="0"/>
        <v>1</v>
      </c>
      <c r="F21" s="15">
        <f>_xlfn.MINIFS('表4 商品品类销售趋势分析'!$G:$G,'表4 商品品类销售趋势分析'!$B:$B, A21)</f>
        <v>9</v>
      </c>
      <c r="G21" s="7">
        <f>_xlfn.MAXIFS('表4 商品品类销售趋势分析'!$G:$G,'表4 商品品类销售趋势分析'!$B:$B, A21)</f>
        <v>9</v>
      </c>
      <c r="H21" s="7">
        <f t="shared" si="1"/>
        <v>0</v>
      </c>
      <c r="I21" s="18">
        <f>SUMIFS('表4 商品品类销售趋势分析'!$D:$D,'表4 商品品类销售趋势分析'!$B:$B, A21)</f>
        <v>63065.590000000142</v>
      </c>
      <c r="J21" s="19">
        <f t="shared" si="2"/>
        <v>0.10772977625691854</v>
      </c>
      <c r="K21" s="15" t="str" cm="1">
        <f t="array" ref="K21">_xlfn.LET(_xlpm.上榜月份,_xlfn._xlws.FILTER('表4 商品品类销售趋势分析'!$A$2:$A$2000,'表4 商品品类销售趋势分析'!$B$2:$B$2000=A21),_xlpm.月份数字,MONTH(_xlpm.上榜月份),_xlpm.季节分布,FREQUENCY(_xlpm.月份数字,{3,6,9}),_xlpm.季节名,{"春季","夏季","秋季","冬季"},INDEX(_xlpm.季节名,MATCH(MAX(_xlpm.季节分布),_xlpm.季节分布,0)))</f>
        <v>秋季</v>
      </c>
      <c r="L21" s="20">
        <f>B21/(DATEDIF(MIN('表4 商品品类销售趋势分析'!$A$2:$A$2000),MAX('表4 商品品类销售趋势分析'!$A$2:$A$2000),"M")+1)</f>
        <v>8.3333333333333329E-2</v>
      </c>
      <c r="M21" s="15" t="str" cm="1">
        <f t="array" ref="M21">_xlfn.SWITCH(TRUE,B21&lt;=3,"短暂活跃型",B21&lt;=8,"间歇活跃型",E21&lt;=6,"集中爆发型","长期稳定型")</f>
        <v>短暂活跃型</v>
      </c>
      <c r="N21" s="20" cm="1">
        <f t="array" ref="N21">_xlfn.LET(_xlpm.dates,_xlfn._xlws.FILTER('表4 商品品类销售趋势分析'!$A$2:$A$2000,'表4 商品品类销售趋势分析'!$B$2:$B$2000=A21),_xlpm.months,MONTH(_xlpm.dates),_xlpm.n,COUNT(_xlpm.months),IF(_xlpm.n&lt;=1,0,_xlfn.LET(_xlpm.rad,RADIANS((_xlpm.months-1)*30),_xlpm.R,SQRT(AVERAGE(COS(_xlpm.rad))^2+AVERAGE(SIN(_xlpm.rad))^2),_xlpm.R)))</f>
        <v>0.96592582628906831</v>
      </c>
      <c r="O21" s="15" t="str" cm="1">
        <f t="array" ref="O21">IF(B21&gt;=2,_xlfn.LET(_xlpm.排名数据,_xlfn._xlws.FILTER('表4 商品品类销售趋势分析'!$G$2:$G$2000,'表4 商品品类销售趋势分析'!$B$2:$B$2000=A21),_xlpm.时间数据,_xlfn._xlws.FILTER('表4 商品品类销售趋势分析'!$A$2:$A$2000,'表4 商品品类销售趋势分析'!$B$2:$B$2000=A21),_xlpm.排序表,_xlfn.SORTBY(_xlfn.HSTACK(_xlpm.时间数据,_xlpm.排名数据),_xlpm.时间数据,1),_xlpm.排名序列,INDEX(_xlpm.排序表,,2),_xlpm.序号序列,_xlfn.SEQUENCE(ROWS(_xlpm.排名序列)),_xlpm.斜率,SLOPE(_xlpm.排名序列,_xlpm.序号序列),IF(_xlpm.斜率&lt;-0.1,"上升趋势",IF(_xlpm.斜率&gt;0.1,"下降趋势","平稳趋势"))),"数据不足")</f>
        <v>平稳趋势</v>
      </c>
    </row>
    <row r="22" spans="1:19" ht="15" x14ac:dyDescent="0.3">
      <c r="Q22" s="2"/>
      <c r="R22" s="2"/>
    </row>
    <row r="23" spans="1:19" ht="15" x14ac:dyDescent="0.3">
      <c r="Q23" s="35" t="s">
        <v>138</v>
      </c>
      <c r="R23" s="34" t="s">
        <v>139</v>
      </c>
      <c r="S23" s="2" t="s">
        <v>140</v>
      </c>
    </row>
    <row r="24" spans="1:19" ht="15" x14ac:dyDescent="0.3">
      <c r="N24" s="4"/>
      <c r="Q24" s="36" t="s">
        <v>141</v>
      </c>
      <c r="R24" s="22">
        <f>AVERAGE($I$2:$I$21)</f>
        <v>428423.8765000006</v>
      </c>
      <c r="S24" s="22">
        <f>MIN(I2:I21)</f>
        <v>10.9</v>
      </c>
    </row>
    <row r="25" spans="1:19" ht="15" x14ac:dyDescent="0.3">
      <c r="Q25" s="36" t="s">
        <v>142</v>
      </c>
      <c r="R25">
        <v>0</v>
      </c>
      <c r="S25" s="23">
        <f>AVERAGE($N$2:$N$21)</f>
        <v>0.22963947073332056</v>
      </c>
    </row>
    <row r="26" spans="1:19" x14ac:dyDescent="0.3">
      <c r="R26" s="22">
        <f>R24</f>
        <v>428423.8765000006</v>
      </c>
      <c r="S26" s="23">
        <f>S25</f>
        <v>0.22963947073332056</v>
      </c>
    </row>
    <row r="27" spans="1:19" x14ac:dyDescent="0.3">
      <c r="R27">
        <v>1</v>
      </c>
      <c r="S27" s="22">
        <f>MAX(I2:I21)</f>
        <v>1233131.7200000007</v>
      </c>
    </row>
  </sheetData>
  <phoneticPr fontId="1" type="noConversion"/>
  <conditionalFormatting sqref="I2:I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{6C55C31F-598B-4262-840E-94ADCDEE5FDE}</x14:id>
        </ext>
      </extLst>
    </cfRule>
  </conditionalFormatting>
  <conditionalFormatting sqref="N2:N1048576">
    <cfRule type="cellIs" dxfId="0" priority="2" operator="greaterThan">
      <formula>0.8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55C31F-598B-4262-840E-94ADCDEE5F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I2:I21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714A-C796-4098-B7B2-1A0E54511EA4}">
  <dimension ref="A1:E23"/>
  <sheetViews>
    <sheetView topLeftCell="A22" workbookViewId="0">
      <selection activeCell="F10" sqref="F10"/>
    </sheetView>
  </sheetViews>
  <sheetFormatPr defaultRowHeight="14.4" x14ac:dyDescent="0.3"/>
  <cols>
    <col min="1" max="1" width="26.6640625" bestFit="1" customWidth="1"/>
    <col min="2" max="4" width="13.88671875" bestFit="1" customWidth="1"/>
    <col min="5" max="5" width="11.6640625" bestFit="1" customWidth="1"/>
  </cols>
  <sheetData>
    <row r="1" spans="1:5" x14ac:dyDescent="0.3">
      <c r="A1" s="21" t="s">
        <v>120</v>
      </c>
      <c r="B1" t="s">
        <v>121</v>
      </c>
    </row>
    <row r="3" spans="1:5" x14ac:dyDescent="0.3">
      <c r="A3" s="21" t="s">
        <v>122</v>
      </c>
      <c r="B3" t="s">
        <v>124</v>
      </c>
      <c r="C3" t="s">
        <v>125</v>
      </c>
      <c r="D3" s="27" t="s">
        <v>123</v>
      </c>
      <c r="E3" t="s">
        <v>126</v>
      </c>
    </row>
    <row r="4" spans="1:5" x14ac:dyDescent="0.3">
      <c r="A4" s="26" t="s">
        <v>62</v>
      </c>
      <c r="B4" s="22">
        <v>1233131.7200000007</v>
      </c>
      <c r="C4" s="25">
        <v>22</v>
      </c>
      <c r="D4" s="27">
        <v>1</v>
      </c>
      <c r="E4" s="23">
        <v>8.7811438753551699E-2</v>
      </c>
    </row>
    <row r="5" spans="1:5" x14ac:dyDescent="0.3">
      <c r="A5" s="26" t="s">
        <v>67</v>
      </c>
      <c r="B5" s="22">
        <v>1166176.9799999993</v>
      </c>
      <c r="C5" s="25">
        <v>21</v>
      </c>
      <c r="D5" s="27">
        <v>0.96464503520722422</v>
      </c>
      <c r="E5" s="23">
        <v>0.11400810337958706</v>
      </c>
    </row>
    <row r="6" spans="1:5" x14ac:dyDescent="0.3">
      <c r="A6" s="26" t="s">
        <v>68</v>
      </c>
      <c r="B6" s="22">
        <v>954852.55000000214</v>
      </c>
      <c r="C6" s="25">
        <v>21</v>
      </c>
      <c r="D6" s="27">
        <v>0.89609617653379814</v>
      </c>
      <c r="E6" s="23">
        <v>0.11400810337958706</v>
      </c>
    </row>
    <row r="7" spans="1:5" x14ac:dyDescent="0.3">
      <c r="A7" s="26" t="s">
        <v>75</v>
      </c>
      <c r="B7" s="22">
        <v>1019151.4100000025</v>
      </c>
      <c r="C7" s="25">
        <v>19</v>
      </c>
      <c r="D7" s="27">
        <v>0.8896805431001622</v>
      </c>
      <c r="E7" s="23">
        <v>0.19642372671415143</v>
      </c>
    </row>
    <row r="8" spans="1:5" x14ac:dyDescent="0.3">
      <c r="A8" s="26" t="s">
        <v>76</v>
      </c>
      <c r="B8" s="22">
        <v>884131.45000000088</v>
      </c>
      <c r="C8" s="25">
        <v>19</v>
      </c>
      <c r="D8" s="27">
        <v>0.845883126227291</v>
      </c>
      <c r="E8" s="23">
        <v>0.19642372671415143</v>
      </c>
    </row>
    <row r="9" spans="1:5" x14ac:dyDescent="0.3">
      <c r="A9" s="26" t="s">
        <v>63</v>
      </c>
      <c r="B9" s="22">
        <v>711927.69000000239</v>
      </c>
      <c r="C9" s="25">
        <v>21</v>
      </c>
      <c r="D9" s="27">
        <v>0.8172968541061828</v>
      </c>
      <c r="E9" s="23">
        <v>0.11400810337958706</v>
      </c>
    </row>
    <row r="10" spans="1:5" x14ac:dyDescent="0.3">
      <c r="A10" s="26" t="s">
        <v>73</v>
      </c>
      <c r="B10" s="22">
        <v>522945.6100000008</v>
      </c>
      <c r="C10" s="25">
        <v>16</v>
      </c>
      <c r="D10" s="27">
        <v>0.68781352954514297</v>
      </c>
      <c r="E10" s="23">
        <v>0.20912907593445196</v>
      </c>
    </row>
    <row r="11" spans="1:5" x14ac:dyDescent="0.3">
      <c r="A11" s="26" t="s">
        <v>77</v>
      </c>
      <c r="B11" s="22">
        <v>491151.2800000009</v>
      </c>
      <c r="C11" s="25">
        <v>13</v>
      </c>
      <c r="D11" s="27">
        <v>0.57659107811362542</v>
      </c>
      <c r="E11" s="23">
        <v>0.43233545810177354</v>
      </c>
    </row>
    <row r="12" spans="1:5" x14ac:dyDescent="0.3">
      <c r="A12" s="26" t="s">
        <v>74</v>
      </c>
      <c r="B12" s="22">
        <v>476832.20000000094</v>
      </c>
      <c r="C12" s="25">
        <v>14</v>
      </c>
      <c r="D12" s="27">
        <v>0.52558265651974623</v>
      </c>
      <c r="E12" s="23">
        <v>0.30244077873901659</v>
      </c>
    </row>
    <row r="13" spans="1:5" x14ac:dyDescent="0.3">
      <c r="A13" s="26" t="s">
        <v>70</v>
      </c>
      <c r="B13" s="22">
        <v>310663.36000000051</v>
      </c>
      <c r="C13" s="25">
        <v>14</v>
      </c>
      <c r="D13" s="27">
        <v>0.47168124848525006</v>
      </c>
      <c r="E13" s="23">
        <v>7.3948298600720205E-2</v>
      </c>
    </row>
    <row r="14" spans="1:5" x14ac:dyDescent="0.3">
      <c r="A14" s="26" t="s">
        <v>65</v>
      </c>
      <c r="B14" s="22">
        <v>235417.85000000056</v>
      </c>
      <c r="C14" s="25">
        <v>8</v>
      </c>
      <c r="D14" s="27">
        <v>0.42545512750546755</v>
      </c>
      <c r="E14" s="23">
        <v>0.42323349080209549</v>
      </c>
    </row>
    <row r="15" spans="1:5" x14ac:dyDescent="0.3">
      <c r="A15" s="26" t="s">
        <v>64</v>
      </c>
      <c r="B15" s="22">
        <v>124744.3400000001</v>
      </c>
      <c r="C15" s="25">
        <v>7</v>
      </c>
      <c r="D15" s="27">
        <v>0.40591878393833047</v>
      </c>
      <c r="E15" s="23">
        <v>0.25037917244526819</v>
      </c>
    </row>
    <row r="16" spans="1:5" x14ac:dyDescent="0.3">
      <c r="A16" s="26" t="s">
        <v>79</v>
      </c>
      <c r="B16" s="22">
        <v>124022.81</v>
      </c>
      <c r="C16" s="25">
        <v>3</v>
      </c>
      <c r="D16" s="27">
        <v>0.35113928140325806</v>
      </c>
      <c r="E16" s="23">
        <v>0.9106836025229591</v>
      </c>
    </row>
    <row r="17" spans="1:5" x14ac:dyDescent="0.3">
      <c r="A17" s="26" t="s">
        <v>72</v>
      </c>
      <c r="B17" s="22">
        <v>10.9</v>
      </c>
      <c r="C17" s="25">
        <v>1</v>
      </c>
      <c r="D17" s="27">
        <v>0.31363989934948272</v>
      </c>
      <c r="E17" s="23">
        <v>0</v>
      </c>
    </row>
    <row r="18" spans="1:5" x14ac:dyDescent="0.3">
      <c r="A18" s="26" t="s">
        <v>69</v>
      </c>
      <c r="B18" s="22">
        <v>182645.44000000038</v>
      </c>
      <c r="C18" s="25">
        <v>7</v>
      </c>
      <c r="D18" s="27">
        <v>0.27470058934027092</v>
      </c>
      <c r="E18" s="23">
        <v>0.20203050891044219</v>
      </c>
    </row>
    <row r="19" spans="1:5" x14ac:dyDescent="0.3">
      <c r="A19" s="26" t="s">
        <v>78</v>
      </c>
      <c r="B19" s="22">
        <v>23114.98</v>
      </c>
      <c r="C19" s="25">
        <v>1</v>
      </c>
      <c r="D19" s="27">
        <v>0.26113433960279159</v>
      </c>
      <c r="E19" s="23">
        <v>0</v>
      </c>
    </row>
    <row r="20" spans="1:5" x14ac:dyDescent="0.3">
      <c r="A20" s="26" t="s">
        <v>66</v>
      </c>
      <c r="B20" s="22">
        <v>3619.3599999999997</v>
      </c>
      <c r="C20" s="25">
        <v>1</v>
      </c>
      <c r="D20" s="27">
        <v>0.2248104020432258</v>
      </c>
      <c r="E20" s="23">
        <v>0</v>
      </c>
    </row>
    <row r="21" spans="1:5" x14ac:dyDescent="0.3">
      <c r="A21" s="26" t="s">
        <v>80</v>
      </c>
      <c r="B21" s="22">
        <v>39522.720000000059</v>
      </c>
      <c r="C21" s="25">
        <v>1</v>
      </c>
      <c r="D21" s="27">
        <v>0.14645663882967389</v>
      </c>
      <c r="E21" s="23">
        <v>0</v>
      </c>
    </row>
    <row r="22" spans="1:5" x14ac:dyDescent="0.3">
      <c r="A22" s="26" t="s">
        <v>81</v>
      </c>
      <c r="B22" s="22">
        <v>63065.590000000142</v>
      </c>
      <c r="C22" s="25">
        <v>2</v>
      </c>
      <c r="D22" s="27">
        <v>0.10772977625691854</v>
      </c>
      <c r="E22" s="23">
        <v>0.96592582628906831</v>
      </c>
    </row>
    <row r="23" spans="1:5" x14ac:dyDescent="0.3">
      <c r="A23" s="26" t="s">
        <v>71</v>
      </c>
      <c r="B23" s="22">
        <v>1349.2900000000002</v>
      </c>
      <c r="C23" s="25">
        <v>1</v>
      </c>
      <c r="D23" s="27">
        <v>4.4074042751454434E-2</v>
      </c>
      <c r="E23" s="23">
        <v>0</v>
      </c>
    </row>
  </sheetData>
  <phoneticPr fontId="1" type="noConversion"/>
  <conditionalFormatting pivot="1" sqref="D4:D23">
    <cfRule type="colorScale" priority="3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4:C2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{8CBD2301-57F2-4D86-8724-AB8EF6D2DBBF}</x14:id>
        </ext>
      </extLst>
    </cfRule>
  </conditionalFormatting>
  <conditionalFormatting pivot="1" sqref="E4:E23">
    <cfRule type="iconSet" priority="1">
      <iconSet iconSet="3TrafficLights2">
        <cfvo type="percent" val="0"/>
        <cfvo type="percent" val="30"/>
        <cfvo type="percent" val="7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CBD2301-57F2-4D86-8724-AB8EF6D2DB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C4:C23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0017-9E94-44C6-AA9E-E5C1F90B21A0}">
  <dimension ref="A1:M8"/>
  <sheetViews>
    <sheetView tabSelected="1" workbookViewId="0">
      <selection activeCell="F12" sqref="F12"/>
    </sheetView>
  </sheetViews>
  <sheetFormatPr defaultRowHeight="14.4" x14ac:dyDescent="0.3"/>
  <cols>
    <col min="1" max="1" width="18.33203125" bestFit="1" customWidth="1"/>
    <col min="2" max="2" width="11.88671875" bestFit="1" customWidth="1"/>
    <col min="3" max="3" width="14.44140625" bestFit="1" customWidth="1"/>
    <col min="4" max="4" width="14" bestFit="1" customWidth="1"/>
    <col min="5" max="5" width="9.6640625" bestFit="1" customWidth="1"/>
    <col min="6" max="6" width="13.109375" bestFit="1" customWidth="1"/>
    <col min="7" max="7" width="14" bestFit="1" customWidth="1"/>
    <col min="8" max="8" width="9.6640625" bestFit="1" customWidth="1"/>
    <col min="9" max="9" width="16.33203125" bestFit="1" customWidth="1"/>
    <col min="10" max="10" width="14" bestFit="1" customWidth="1"/>
    <col min="11" max="11" width="9.6640625" bestFit="1" customWidth="1"/>
    <col min="12" max="12" width="16.33203125" bestFit="1" customWidth="1"/>
    <col min="13" max="13" width="14" bestFit="1" customWidth="1"/>
  </cols>
  <sheetData>
    <row r="1" spans="1:13" ht="20.399999999999999" x14ac:dyDescent="0.45">
      <c r="A1" s="33" t="s">
        <v>137</v>
      </c>
      <c r="B1" s="33"/>
      <c r="C1" s="33"/>
      <c r="D1" s="33"/>
      <c r="E1" s="1"/>
      <c r="F1" s="1"/>
      <c r="G1" s="1"/>
      <c r="H1" s="1"/>
      <c r="I1" s="1"/>
      <c r="J1" s="1"/>
      <c r="K1" s="1"/>
      <c r="L1" s="1"/>
      <c r="M1" s="1"/>
    </row>
    <row r="2" spans="1:13" ht="15.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6" x14ac:dyDescent="0.35">
      <c r="A3" s="1"/>
      <c r="B3" s="28" t="s">
        <v>118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6" x14ac:dyDescent="0.35">
      <c r="A4" s="1"/>
      <c r="B4" s="1" t="s">
        <v>130</v>
      </c>
      <c r="C4" s="1"/>
      <c r="D4" s="1"/>
      <c r="E4" s="1" t="s">
        <v>129</v>
      </c>
      <c r="F4" s="1"/>
      <c r="G4" s="1"/>
      <c r="H4" s="1" t="s">
        <v>128</v>
      </c>
      <c r="I4" s="1"/>
      <c r="J4" s="1"/>
      <c r="K4" s="1" t="s">
        <v>127</v>
      </c>
      <c r="L4" s="1"/>
      <c r="M4" s="1"/>
    </row>
    <row r="5" spans="1:13" ht="15.6" x14ac:dyDescent="0.35">
      <c r="A5" s="28" t="s">
        <v>136</v>
      </c>
      <c r="B5" s="1" t="s">
        <v>132</v>
      </c>
      <c r="C5" s="1" t="s">
        <v>131</v>
      </c>
      <c r="D5" s="1" t="s">
        <v>123</v>
      </c>
      <c r="E5" s="1" t="s">
        <v>132</v>
      </c>
      <c r="F5" s="1" t="s">
        <v>131</v>
      </c>
      <c r="G5" s="1" t="s">
        <v>123</v>
      </c>
      <c r="H5" s="1" t="s">
        <v>132</v>
      </c>
      <c r="I5" s="1" t="s">
        <v>131</v>
      </c>
      <c r="J5" s="1" t="s">
        <v>123</v>
      </c>
      <c r="K5" s="1" t="s">
        <v>132</v>
      </c>
      <c r="L5" s="1" t="s">
        <v>131</v>
      </c>
      <c r="M5" s="1" t="s">
        <v>123</v>
      </c>
    </row>
    <row r="6" spans="1:13" ht="15.6" x14ac:dyDescent="0.35">
      <c r="A6" s="29" t="s">
        <v>133</v>
      </c>
      <c r="B6" s="30">
        <v>5</v>
      </c>
      <c r="C6" s="31">
        <v>522462.71000000101</v>
      </c>
      <c r="D6" s="32">
        <v>0.61947506954082754</v>
      </c>
      <c r="E6" s="30">
        <v>5</v>
      </c>
      <c r="F6" s="31">
        <v>13523.450000000012</v>
      </c>
      <c r="G6" s="32">
        <v>0.1980230645153257</v>
      </c>
      <c r="H6" s="30">
        <v>1</v>
      </c>
      <c r="I6" s="31">
        <v>1166176.9799999993</v>
      </c>
      <c r="J6" s="32">
        <v>0.96464503520722422</v>
      </c>
      <c r="K6" s="30">
        <v>3</v>
      </c>
      <c r="L6" s="31">
        <v>1069045.2266666684</v>
      </c>
      <c r="M6" s="32">
        <v>0.92859223987798689</v>
      </c>
    </row>
    <row r="7" spans="1:13" ht="15.6" x14ac:dyDescent="0.35">
      <c r="A7" s="29" t="s">
        <v>134</v>
      </c>
      <c r="B7" s="30">
        <v>1</v>
      </c>
      <c r="C7" s="31">
        <v>124744.3400000001</v>
      </c>
      <c r="D7" s="32">
        <v>0.40591878393833047</v>
      </c>
      <c r="E7" s="30"/>
      <c r="F7" s="31"/>
      <c r="G7" s="32"/>
      <c r="H7" s="30">
        <v>3</v>
      </c>
      <c r="I7" s="31">
        <v>401133.77666666749</v>
      </c>
      <c r="J7" s="32">
        <v>0.5092096207129464</v>
      </c>
      <c r="K7" s="30"/>
      <c r="L7" s="31"/>
      <c r="M7" s="32"/>
    </row>
    <row r="8" spans="1:13" ht="15.6" x14ac:dyDescent="0.35">
      <c r="A8" s="29" t="s">
        <v>135</v>
      </c>
      <c r="B8" s="30"/>
      <c r="C8" s="31"/>
      <c r="D8" s="32"/>
      <c r="E8" s="30"/>
      <c r="F8" s="31"/>
      <c r="G8" s="32"/>
      <c r="H8" s="30">
        <v>1</v>
      </c>
      <c r="I8" s="31">
        <v>124022.81</v>
      </c>
      <c r="J8" s="32">
        <v>0.35113928140325806</v>
      </c>
      <c r="K8" s="30">
        <v>1</v>
      </c>
      <c r="L8" s="31">
        <v>63065.590000000142</v>
      </c>
      <c r="M8" s="32">
        <v>0.10772977625691854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表1 月度销售分析</vt:lpstr>
      <vt:lpstr>表2 支付金额分析</vt:lpstr>
      <vt:lpstr>表3 RFM分析</vt:lpstr>
      <vt:lpstr>表4 商品品类销售趋势分析</vt:lpstr>
      <vt:lpstr>品类综合分析（包含季节性分析）</vt:lpstr>
      <vt:lpstr>品类综合表现看板</vt:lpstr>
      <vt:lpstr>集中度价值分析表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2026-01-08T00:23:32Z</dcterms:created>
  <dcterms:modified xsi:type="dcterms:W3CDTF">2026-01-08T09:53:18Z</dcterms:modified>
</cp:coreProperties>
</file>